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ockpot\docs\entrega-2do-corte\01_Plan_de_gestion_del_proyecto\"/>
    </mc:Choice>
  </mc:AlternateContent>
  <xr:revisionPtr revIDLastSave="0" documentId="13_ncr:1_{4D86866F-D9DB-47D1-84B8-2124E98A8C2B}" xr6:coauthVersionLast="47" xr6:coauthVersionMax="47" xr10:uidLastSave="{00000000-0000-0000-0000-000000000000}"/>
  <bookViews>
    <workbookView xWindow="1044" yWindow="1440" windowWidth="17280" windowHeight="9960" xr2:uid="{00000000-000D-0000-FFFF-FFFF00000000}"/>
  </bookViews>
  <sheets>
    <sheet name="Avance 2.º corte" sheetId="1" r:id="rId1"/>
    <sheet name="Parametros" sheetId="2" r:id="rId2"/>
    <sheet name="Objetivos" sheetId="3" r:id="rId3"/>
    <sheet name="Iteracion 1" sheetId="4" r:id="rId4"/>
    <sheet name="Iteracion 2" sheetId="5" r:id="rId5"/>
    <sheet name="Iteracion 3" sheetId="6" r:id="rId6"/>
    <sheet name="Iteracion 4" sheetId="7" r:id="rId7"/>
    <sheet name="Iteracion 5" sheetId="8" r:id="rId8"/>
    <sheet name="Consolidado" sheetId="9" r:id="rId9"/>
    <sheet name="wbs-EDT" sheetId="10" r:id="rId10"/>
    <sheet name="costos y roles" sheetId="11" r:id="rId11"/>
    <sheet name="presupuesto y BAC" sheetId="12" r:id="rId12"/>
    <sheet name="Festivo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2" l="1"/>
  <c r="D18" i="12"/>
  <c r="D17" i="12"/>
  <c r="D16" i="12"/>
  <c r="D15" i="12"/>
  <c r="D14" i="12"/>
  <c r="D13" i="12"/>
  <c r="D20" i="12" s="1"/>
  <c r="D7" i="12"/>
  <c r="E7" i="12" s="1"/>
  <c r="D6" i="12"/>
  <c r="E6" i="12" s="1"/>
  <c r="D5" i="12"/>
  <c r="D4" i="12"/>
  <c r="D7" i="11"/>
  <c r="E7" i="11" s="1"/>
  <c r="D6" i="11"/>
  <c r="E6" i="11" s="1"/>
  <c r="D5" i="11"/>
  <c r="D4" i="11"/>
  <c r="B33" i="9"/>
  <c r="C23" i="9"/>
  <c r="H9" i="12" s="1"/>
  <c r="C18" i="9"/>
  <c r="C17" i="9"/>
  <c r="C16" i="9"/>
  <c r="C15" i="9"/>
  <c r="I9" i="9"/>
  <c r="F9" i="9"/>
  <c r="I8" i="9"/>
  <c r="I7" i="9"/>
  <c r="I6" i="9"/>
  <c r="I5" i="9"/>
  <c r="I4" i="9"/>
  <c r="B51" i="8"/>
  <c r="B53" i="8" s="1"/>
  <c r="B45" i="8"/>
  <c r="B43" i="8"/>
  <c r="K35" i="8"/>
  <c r="D35" i="8"/>
  <c r="C35" i="8"/>
  <c r="B35" i="8"/>
  <c r="K34" i="8"/>
  <c r="D34" i="8"/>
  <c r="C34" i="8"/>
  <c r="B34" i="8"/>
  <c r="K33" i="8"/>
  <c r="K36" i="8" s="1"/>
  <c r="B41" i="8" s="1"/>
  <c r="D8" i="9" s="1"/>
  <c r="D33" i="8"/>
  <c r="C33" i="8"/>
  <c r="B33" i="8"/>
  <c r="F27" i="8"/>
  <c r="F26" i="8"/>
  <c r="F25" i="8"/>
  <c r="F24" i="8"/>
  <c r="F23" i="8"/>
  <c r="F22" i="8"/>
  <c r="F28" i="8" s="1"/>
  <c r="F20" i="8"/>
  <c r="F19" i="8"/>
  <c r="F18" i="8"/>
  <c r="M17" i="8"/>
  <c r="N17" i="8" s="1"/>
  <c r="F17" i="8"/>
  <c r="M16" i="8"/>
  <c r="N16" i="8" s="1"/>
  <c r="M15" i="8"/>
  <c r="N15" i="8" s="1"/>
  <c r="F15" i="8"/>
  <c r="M14" i="8"/>
  <c r="N14" i="8" s="1"/>
  <c r="F14" i="8"/>
  <c r="F21" i="8" s="1"/>
  <c r="M13" i="8"/>
  <c r="N13" i="8" s="1"/>
  <c r="M12" i="8"/>
  <c r="N12" i="8" s="1"/>
  <c r="F12" i="8"/>
  <c r="M11" i="8"/>
  <c r="N11" i="8" s="1"/>
  <c r="F11" i="8"/>
  <c r="M10" i="8"/>
  <c r="N10" i="8" s="1"/>
  <c r="F10" i="8"/>
  <c r="M9" i="8"/>
  <c r="N9" i="8" s="1"/>
  <c r="F9" i="8"/>
  <c r="E35" i="8" s="1"/>
  <c r="M8" i="8"/>
  <c r="N8" i="8" s="1"/>
  <c r="F8" i="8"/>
  <c r="M7" i="8"/>
  <c r="N7" i="8" s="1"/>
  <c r="F7" i="8"/>
  <c r="M6" i="8"/>
  <c r="N6" i="8" s="1"/>
  <c r="F6" i="8"/>
  <c r="M5" i="8"/>
  <c r="N5" i="8" s="1"/>
  <c r="M4" i="8"/>
  <c r="N4" i="8" s="1"/>
  <c r="B46" i="7"/>
  <c r="B40" i="7"/>
  <c r="B38" i="7"/>
  <c r="F7" i="9" s="1"/>
  <c r="K30" i="7"/>
  <c r="D30" i="7"/>
  <c r="C30" i="7"/>
  <c r="B30" i="7"/>
  <c r="K29" i="7"/>
  <c r="E29" i="7"/>
  <c r="D29" i="7"/>
  <c r="C29" i="7"/>
  <c r="B29" i="7"/>
  <c r="K28" i="7"/>
  <c r="K31" i="7" s="1"/>
  <c r="B36" i="7" s="1"/>
  <c r="D7" i="9" s="1"/>
  <c r="D28" i="7"/>
  <c r="C28" i="7"/>
  <c r="B28" i="7"/>
  <c r="F22" i="7"/>
  <c r="F21" i="7"/>
  <c r="F20" i="7"/>
  <c r="F19" i="7"/>
  <c r="F18" i="7"/>
  <c r="F17" i="7"/>
  <c r="M16" i="7"/>
  <c r="N16" i="7" s="1"/>
  <c r="F16" i="7"/>
  <c r="M15" i="7"/>
  <c r="N15" i="7" s="1"/>
  <c r="F15" i="7"/>
  <c r="F23" i="7" s="1"/>
  <c r="M14" i="7"/>
  <c r="N14" i="7" s="1"/>
  <c r="M13" i="7"/>
  <c r="N13" i="7" s="1"/>
  <c r="F13" i="7"/>
  <c r="M12" i="7"/>
  <c r="N12" i="7" s="1"/>
  <c r="F12" i="7"/>
  <c r="M11" i="7"/>
  <c r="N11" i="7" s="1"/>
  <c r="F11" i="7"/>
  <c r="M10" i="7"/>
  <c r="N10" i="7" s="1"/>
  <c r="F10" i="7"/>
  <c r="M9" i="7"/>
  <c r="N9" i="7" s="1"/>
  <c r="F9" i="7"/>
  <c r="M8" i="7"/>
  <c r="N8" i="7" s="1"/>
  <c r="F8" i="7"/>
  <c r="M7" i="7"/>
  <c r="N7" i="7" s="1"/>
  <c r="F7" i="7"/>
  <c r="M6" i="7"/>
  <c r="N6" i="7" s="1"/>
  <c r="F6" i="7"/>
  <c r="M5" i="7"/>
  <c r="N5" i="7" s="1"/>
  <c r="M4" i="7"/>
  <c r="N4" i="7" s="1"/>
  <c r="B46" i="6"/>
  <c r="B40" i="6"/>
  <c r="B38" i="6"/>
  <c r="F6" i="9" s="1"/>
  <c r="K30" i="6"/>
  <c r="D30" i="6"/>
  <c r="C30" i="6"/>
  <c r="B30" i="6"/>
  <c r="K29" i="6"/>
  <c r="D29" i="6"/>
  <c r="C29" i="6"/>
  <c r="B29" i="6"/>
  <c r="K28" i="6"/>
  <c r="D28" i="6"/>
  <c r="C28" i="6"/>
  <c r="B28" i="6"/>
  <c r="F22" i="6"/>
  <c r="F21" i="6"/>
  <c r="F20" i="6"/>
  <c r="F19" i="6"/>
  <c r="F18" i="6"/>
  <c r="F17" i="6"/>
  <c r="M16" i="6"/>
  <c r="N16" i="6" s="1"/>
  <c r="F16" i="6"/>
  <c r="F23" i="6" s="1"/>
  <c r="M15" i="6"/>
  <c r="N15" i="6" s="1"/>
  <c r="M14" i="6"/>
  <c r="N14" i="6" s="1"/>
  <c r="F14" i="6"/>
  <c r="M13" i="6"/>
  <c r="N13" i="6" s="1"/>
  <c r="F13" i="6"/>
  <c r="E29" i="6" s="1"/>
  <c r="M12" i="6"/>
  <c r="N12" i="6" s="1"/>
  <c r="F12" i="6"/>
  <c r="M11" i="6"/>
  <c r="N11" i="6" s="1"/>
  <c r="F11" i="6"/>
  <c r="M10" i="6"/>
  <c r="N10" i="6" s="1"/>
  <c r="F10" i="6"/>
  <c r="M9" i="6"/>
  <c r="N9" i="6" s="1"/>
  <c r="F9" i="6"/>
  <c r="M8" i="6"/>
  <c r="N8" i="6" s="1"/>
  <c r="F8" i="6"/>
  <c r="M7" i="6"/>
  <c r="N7" i="6" s="1"/>
  <c r="F7" i="6"/>
  <c r="M6" i="6"/>
  <c r="N6" i="6" s="1"/>
  <c r="F6" i="6"/>
  <c r="M5" i="6"/>
  <c r="N5" i="6" s="1"/>
  <c r="M4" i="6"/>
  <c r="N4" i="6" s="1"/>
  <c r="B46" i="5"/>
  <c r="B40" i="5"/>
  <c r="B38" i="5"/>
  <c r="F5" i="9" s="1"/>
  <c r="K30" i="5"/>
  <c r="K29" i="5"/>
  <c r="D29" i="5"/>
  <c r="C29" i="5"/>
  <c r="B29" i="5"/>
  <c r="K28" i="5"/>
  <c r="D28" i="5"/>
  <c r="C28" i="5"/>
  <c r="B28" i="5"/>
  <c r="K27" i="5"/>
  <c r="D27" i="5"/>
  <c r="C27" i="5"/>
  <c r="B27" i="5"/>
  <c r="F21" i="5"/>
  <c r="F20" i="5"/>
  <c r="F19" i="5"/>
  <c r="F18" i="5"/>
  <c r="F17" i="5"/>
  <c r="M16" i="5"/>
  <c r="N16" i="5" s="1"/>
  <c r="F16" i="5"/>
  <c r="F22" i="5" s="1"/>
  <c r="M15" i="5"/>
  <c r="N15" i="5" s="1"/>
  <c r="M14" i="5"/>
  <c r="N14" i="5" s="1"/>
  <c r="F14" i="5"/>
  <c r="M13" i="5"/>
  <c r="N13" i="5" s="1"/>
  <c r="F13" i="5"/>
  <c r="E28" i="5" s="1"/>
  <c r="M12" i="5"/>
  <c r="N12" i="5" s="1"/>
  <c r="F12" i="5"/>
  <c r="M11" i="5"/>
  <c r="N11" i="5" s="1"/>
  <c r="F11" i="5"/>
  <c r="M10" i="5"/>
  <c r="N10" i="5" s="1"/>
  <c r="F10" i="5"/>
  <c r="M9" i="5"/>
  <c r="N9" i="5" s="1"/>
  <c r="F9" i="5"/>
  <c r="M8" i="5"/>
  <c r="N8" i="5" s="1"/>
  <c r="F8" i="5"/>
  <c r="M7" i="5"/>
  <c r="N7" i="5" s="1"/>
  <c r="F7" i="5"/>
  <c r="M6" i="5"/>
  <c r="N6" i="5" s="1"/>
  <c r="F6" i="5"/>
  <c r="M5" i="5"/>
  <c r="N5" i="5" s="1"/>
  <c r="M4" i="5"/>
  <c r="N4" i="5" s="1"/>
  <c r="B45" i="4"/>
  <c r="B39" i="4"/>
  <c r="B37" i="4"/>
  <c r="F4" i="9" s="1"/>
  <c r="K29" i="4"/>
  <c r="K28" i="4"/>
  <c r="D28" i="4"/>
  <c r="C28" i="4"/>
  <c r="B28" i="4"/>
  <c r="K27" i="4"/>
  <c r="D27" i="4"/>
  <c r="C27" i="4"/>
  <c r="B27" i="4"/>
  <c r="K26" i="4"/>
  <c r="K30" i="4" s="1"/>
  <c r="B35" i="4" s="1"/>
  <c r="D4" i="9" s="1"/>
  <c r="D26" i="4"/>
  <c r="C26" i="4"/>
  <c r="B26" i="4"/>
  <c r="F20" i="4"/>
  <c r="F19" i="4"/>
  <c r="F18" i="4"/>
  <c r="F17" i="4"/>
  <c r="E27" i="4" s="1"/>
  <c r="M16" i="4"/>
  <c r="N16" i="4" s="1"/>
  <c r="F16" i="4"/>
  <c r="M15" i="4"/>
  <c r="N15" i="4" s="1"/>
  <c r="F15" i="4"/>
  <c r="M14" i="4"/>
  <c r="N14" i="4" s="1"/>
  <c r="F14" i="4"/>
  <c r="M13" i="4"/>
  <c r="N13" i="4" s="1"/>
  <c r="F13" i="4"/>
  <c r="F21" i="4" s="1"/>
  <c r="M12" i="4"/>
  <c r="N12" i="4" s="1"/>
  <c r="M11" i="4"/>
  <c r="N11" i="4" s="1"/>
  <c r="F11" i="4"/>
  <c r="M10" i="4"/>
  <c r="N10" i="4" s="1"/>
  <c r="F10" i="4"/>
  <c r="M9" i="4"/>
  <c r="N9" i="4" s="1"/>
  <c r="F9" i="4"/>
  <c r="M8" i="4"/>
  <c r="N8" i="4" s="1"/>
  <c r="F8" i="4"/>
  <c r="M7" i="4"/>
  <c r="N7" i="4" s="1"/>
  <c r="F7" i="4"/>
  <c r="M6" i="4"/>
  <c r="N6" i="4" s="1"/>
  <c r="F6" i="4"/>
  <c r="M5" i="4"/>
  <c r="N5" i="4" s="1"/>
  <c r="M4" i="4"/>
  <c r="N4" i="4" s="1"/>
  <c r="F29" i="2"/>
  <c r="F28" i="2"/>
  <c r="F27" i="2"/>
  <c r="F14" i="2"/>
  <c r="B90" i="1"/>
  <c r="B88" i="1"/>
  <c r="B87" i="1"/>
  <c r="B89" i="1" s="1"/>
  <c r="B86" i="1"/>
  <c r="E34" i="8" l="1"/>
  <c r="K31" i="6"/>
  <c r="B36" i="6" s="1"/>
  <c r="D6" i="9" s="1"/>
  <c r="E30" i="7"/>
  <c r="E30" i="6"/>
  <c r="K31" i="5"/>
  <c r="B36" i="5" s="1"/>
  <c r="D5" i="9" s="1"/>
  <c r="D9" i="9" s="1"/>
  <c r="E29" i="5"/>
  <c r="E28" i="4"/>
  <c r="B50" i="8"/>
  <c r="B52" i="8" s="1"/>
  <c r="F8" i="9"/>
  <c r="E33" i="8"/>
  <c r="F13" i="8"/>
  <c r="F14" i="7"/>
  <c r="E28" i="7"/>
  <c r="E28" i="6"/>
  <c r="E31" i="6" s="1"/>
  <c r="B35" i="6" s="1"/>
  <c r="F15" i="6"/>
  <c r="F15" i="5"/>
  <c r="E27" i="5"/>
  <c r="E26" i="4"/>
  <c r="F12" i="4"/>
  <c r="H8" i="12"/>
  <c r="C22" i="9"/>
  <c r="C4" i="11"/>
  <c r="C5" i="11"/>
  <c r="E5" i="11" s="1"/>
  <c r="C4" i="12"/>
  <c r="C5" i="12"/>
  <c r="E5" i="12" s="1"/>
  <c r="E36" i="8" l="1"/>
  <c r="B40" i="8" s="1"/>
  <c r="B42" i="8" s="1"/>
  <c r="E31" i="7"/>
  <c r="B35" i="7" s="1"/>
  <c r="E30" i="5"/>
  <c r="B35" i="5" s="1"/>
  <c r="E29" i="4"/>
  <c r="B34" i="4" s="1"/>
  <c r="C8" i="9"/>
  <c r="B37" i="6"/>
  <c r="C6" i="9"/>
  <c r="B37" i="5"/>
  <c r="C5" i="9"/>
  <c r="B37" i="7" l="1"/>
  <c r="C7" i="9"/>
  <c r="B36" i="4"/>
  <c r="C4" i="9"/>
  <c r="B44" i="8"/>
  <c r="E8" i="9"/>
  <c r="B39" i="6"/>
  <c r="E6" i="9"/>
  <c r="B39" i="5"/>
  <c r="E5" i="9"/>
  <c r="C9" i="9"/>
  <c r="B39" i="7" l="1"/>
  <c r="E7" i="9"/>
  <c r="E9" i="9" s="1"/>
  <c r="B38" i="4"/>
  <c r="E4" i="9"/>
  <c r="B46" i="8"/>
  <c r="B47" i="8" s="1"/>
  <c r="H8" i="9" s="1"/>
  <c r="G8" i="9"/>
  <c r="J8" i="9" s="1"/>
  <c r="K8" i="9" s="1"/>
  <c r="G7" i="9"/>
  <c r="J7" i="9" s="1"/>
  <c r="K7" i="9" s="1"/>
  <c r="B41" i="6"/>
  <c r="B42" i="6" s="1"/>
  <c r="H6" i="9" s="1"/>
  <c r="B45" i="6"/>
  <c r="B47" i="6" s="1"/>
  <c r="B48" i="6" s="1"/>
  <c r="G6" i="9"/>
  <c r="J6" i="9" s="1"/>
  <c r="K6" i="9" s="1"/>
  <c r="B41" i="5"/>
  <c r="B42" i="5" s="1"/>
  <c r="H5" i="9" s="1"/>
  <c r="B45" i="5"/>
  <c r="B47" i="5" s="1"/>
  <c r="B48" i="5" s="1"/>
  <c r="G5" i="9"/>
  <c r="J5" i="9" s="1"/>
  <c r="K5" i="9" s="1"/>
  <c r="B41" i="7" l="1"/>
  <c r="B42" i="7" s="1"/>
  <c r="H7" i="9" s="1"/>
  <c r="H9" i="9" s="1"/>
  <c r="C13" i="9" s="1"/>
  <c r="C19" i="9" s="1"/>
  <c r="B45" i="7"/>
  <c r="B47" i="7" s="1"/>
  <c r="B48" i="7" s="1"/>
  <c r="B40" i="4"/>
  <c r="B41" i="4" s="1"/>
  <c r="H4" i="9" s="1"/>
  <c r="B44" i="4"/>
  <c r="B46" i="4" s="1"/>
  <c r="B47" i="4" s="1"/>
  <c r="G4" i="9"/>
  <c r="J4" i="9"/>
  <c r="G9" i="9"/>
  <c r="K4" i="9" l="1"/>
  <c r="K9" i="9" s="1"/>
  <c r="J9" i="9"/>
  <c r="H5" i="12"/>
  <c r="C20" i="9"/>
  <c r="C29" i="9" l="1"/>
  <c r="C30" i="9"/>
  <c r="D30" i="9" s="1"/>
  <c r="C31" i="9"/>
  <c r="D31" i="9" s="1"/>
  <c r="C32" i="9"/>
  <c r="D32" i="9" s="1"/>
  <c r="H6" i="12"/>
  <c r="C21" i="9"/>
  <c r="D29" i="9" l="1"/>
  <c r="D33" i="9" s="1"/>
  <c r="C33" i="9"/>
  <c r="H7" i="12"/>
  <c r="B4" i="12"/>
  <c r="E4" i="12" s="1"/>
  <c r="E8" i="12" s="1"/>
  <c r="H4" i="12" s="1"/>
  <c r="B4" i="11"/>
  <c r="E4" i="11" s="1"/>
  <c r="E8" i="11" s="1"/>
</calcChain>
</file>

<file path=xl/sharedStrings.xml><?xml version="1.0" encoding="utf-8"?>
<sst xmlns="http://schemas.openxmlformats.org/spreadsheetml/2006/main" count="1717" uniqueCount="499">
  <si>
    <t>AVANCE DEL 2.º CORTE — 70 % ENTREGADO / 30 % PENDIENTE (19/10/2026)</t>
  </si>
  <si>
    <t>Criterio: puntos de función transaccionales por requisito (EI, EO, EQ) de las hojas de iteración. Entregado = implementado, probado (pruebas automáticas) e integrado en la rama develop.</t>
  </si>
  <si>
    <t>Sprint / iteración (Jira)</t>
  </si>
  <si>
    <t>Módulo</t>
  </si>
  <si>
    <t>RF</t>
  </si>
  <si>
    <t>Requisito</t>
  </si>
  <si>
    <t>Tipo</t>
  </si>
  <si>
    <t>Complejidad</t>
  </si>
  <si>
    <t>PF</t>
  </si>
  <si>
    <t>Estado</t>
  </si>
  <si>
    <t>Pruebas automáticas</t>
  </si>
  <si>
    <t>Sprint 1 – Iteración 1 (Mateo)</t>
  </si>
  <si>
    <t>Módulo 1 — Gestión de usuarios y roles</t>
  </si>
  <si>
    <t>RF-01.1</t>
  </si>
  <si>
    <t>Registrar usuarios</t>
  </si>
  <si>
    <t>EI</t>
  </si>
  <si>
    <t>Media</t>
  </si>
  <si>
    <t>Entregado (70 %)</t>
  </si>
  <si>
    <t>RF-01.2</t>
  </si>
  <si>
    <t>Consultar usuarios</t>
  </si>
  <si>
    <t>EQ</t>
  </si>
  <si>
    <t>Baja</t>
  </si>
  <si>
    <t>RF-01.3</t>
  </si>
  <si>
    <t>Modificar usuarios</t>
  </si>
  <si>
    <t>RF-01.4</t>
  </si>
  <si>
    <t>Iniciar sesión</t>
  </si>
  <si>
    <t>RF-01.5</t>
  </si>
  <si>
    <t>Asignar roles</t>
  </si>
  <si>
    <t>RF-01.6</t>
  </si>
  <si>
    <t>Gestionar permisos de acceso</t>
  </si>
  <si>
    <t>Módulo 2 — Gestión de proveedores</t>
  </si>
  <si>
    <t>RF-02.1</t>
  </si>
  <si>
    <t>Registrar proveedores</t>
  </si>
  <si>
    <t>RF-02.2</t>
  </si>
  <si>
    <t>Consultar proveedores</t>
  </si>
  <si>
    <t>RF-02.3</t>
  </si>
  <si>
    <t>Modificar información de proveedores</t>
  </si>
  <si>
    <t>RF-02.4</t>
  </si>
  <si>
    <t>Registrar productos suministrados</t>
  </si>
  <si>
    <t>RF-02.5</t>
  </si>
  <si>
    <t>Consultar historial de compras</t>
  </si>
  <si>
    <t>EO</t>
  </si>
  <si>
    <t>RF-02.6</t>
  </si>
  <si>
    <t>Registrar órdenes de compra</t>
  </si>
  <si>
    <t>Alta</t>
  </si>
  <si>
    <t>RF-02.7</t>
  </si>
  <si>
    <t>Actualizar estado de las órdenes de compra</t>
  </si>
  <si>
    <t>RF-02.8</t>
  </si>
  <si>
    <t>Relacionar compras con inventario</t>
  </si>
  <si>
    <t>Sprint 2 – Iteración 2 (Jhorman)</t>
  </si>
  <si>
    <t>Módulo 3 — Gestión de inventario</t>
  </si>
  <si>
    <t>RF-03.1</t>
  </si>
  <si>
    <t>Registrar insumos y materias primas</t>
  </si>
  <si>
    <t>RF-03.2</t>
  </si>
  <si>
    <t>Consultar insumos</t>
  </si>
  <si>
    <t>RF-03.3</t>
  </si>
  <si>
    <t>Modificar información de insumos</t>
  </si>
  <si>
    <t>RF-03.4</t>
  </si>
  <si>
    <t>Registrar entradas de inventario</t>
  </si>
  <si>
    <t>RF-03.5</t>
  </si>
  <si>
    <t>Registrar salidas de inventario</t>
  </si>
  <si>
    <t>RF-03.6</t>
  </si>
  <si>
    <t>Consultar existencias</t>
  </si>
  <si>
    <t>RF-03.7</t>
  </si>
  <si>
    <t>Establecer niveles mínimos de stock</t>
  </si>
  <si>
    <t>RF-03.8</t>
  </si>
  <si>
    <t>Generar alertas de stock</t>
  </si>
  <si>
    <t>RF-03.9</t>
  </si>
  <si>
    <t>Actualizar automáticamente el inventario</t>
  </si>
  <si>
    <t>Módulo 4 — Productos y menú</t>
  </si>
  <si>
    <t>RF-04.1</t>
  </si>
  <si>
    <t>Registrar productos y platos</t>
  </si>
  <si>
    <t>RF-04.2</t>
  </si>
  <si>
    <t>Consultar productos y platos</t>
  </si>
  <si>
    <t>RF-04.3</t>
  </si>
  <si>
    <t>Modificar productos y platos</t>
  </si>
  <si>
    <t>RF-04.4</t>
  </si>
  <si>
    <t>Asociar insumos a productos o platos</t>
  </si>
  <si>
    <t>RF-04.5</t>
  </si>
  <si>
    <t>Establecer precios de venta</t>
  </si>
  <si>
    <t>RF-04.6</t>
  </si>
  <si>
    <t>Gestionar disponibilidad de productos</t>
  </si>
  <si>
    <t>Sprint 3 – Iteración 3 (Yovany)</t>
  </si>
  <si>
    <t>Módulo 5 — Gestión de pedidos</t>
  </si>
  <si>
    <t>RF-05.1</t>
  </si>
  <si>
    <t>Registrar pedidos</t>
  </si>
  <si>
    <t>Pendiente (30 %)</t>
  </si>
  <si>
    <t>—</t>
  </si>
  <si>
    <t>RF-05.2</t>
  </si>
  <si>
    <t>Asociar pedidos a mesas</t>
  </si>
  <si>
    <t>RF-05.3</t>
  </si>
  <si>
    <t>Agregar productos al pedido</t>
  </si>
  <si>
    <t>RF-05.4</t>
  </si>
  <si>
    <t>Modificar pedidos</t>
  </si>
  <si>
    <t>RF-05.5</t>
  </si>
  <si>
    <t>Consultar pedidos</t>
  </si>
  <si>
    <t>RF-05.6</t>
  </si>
  <si>
    <t>Validar disponibilidad de insumos</t>
  </si>
  <si>
    <t>RF-05.7</t>
  </si>
  <si>
    <t>Confirmar pedidos</t>
  </si>
  <si>
    <t>RF-05.8</t>
  </si>
  <si>
    <t>Enviar pedidos a cocina</t>
  </si>
  <si>
    <t>RF-05.9</t>
  </si>
  <si>
    <t>Consultar estado del pedido</t>
  </si>
  <si>
    <t>Módulo 6 — Gestión de cocina</t>
  </si>
  <si>
    <t>RF-06.1</t>
  </si>
  <si>
    <t>Recibir órdenes de atención</t>
  </si>
  <si>
    <t>RF-06.2</t>
  </si>
  <si>
    <t>Visualizar órdenes pendientes</t>
  </si>
  <si>
    <t>RF-06.3</t>
  </si>
  <si>
    <t>Organizar órdenes por llegada</t>
  </si>
  <si>
    <t>RF-06.4</t>
  </si>
  <si>
    <t>Actualizar estado de preparación</t>
  </si>
  <si>
    <t>RF-06.5</t>
  </si>
  <si>
    <t>Marcar pedidos como preparados</t>
  </si>
  <si>
    <t>RF-06.6</t>
  </si>
  <si>
    <t>Marcar pedidos como entregados</t>
  </si>
  <si>
    <t>RF-06.7</t>
  </si>
  <si>
    <t>Notificar cambio de estado</t>
  </si>
  <si>
    <t>Módulo 7 — Gestión de reservas</t>
  </si>
  <si>
    <t>RF-07.1</t>
  </si>
  <si>
    <t>Registrar reservas</t>
  </si>
  <si>
    <t>RF-07.2</t>
  </si>
  <si>
    <t>Consultar reservas</t>
  </si>
  <si>
    <t>RF-07.3</t>
  </si>
  <si>
    <t>Modificar reservas</t>
  </si>
  <si>
    <t>RF-07.4</t>
  </si>
  <si>
    <t>Cancelar reservas</t>
  </si>
  <si>
    <t>RF-07.5</t>
  </si>
  <si>
    <t>Registrar fecha y hora de la reserva</t>
  </si>
  <si>
    <t>RF-07.6</t>
  </si>
  <si>
    <t>Asociar reservas con mesas</t>
  </si>
  <si>
    <t>RF-07.7</t>
  </si>
  <si>
    <t>Verificar disponibilidad de mesas</t>
  </si>
  <si>
    <t>RF-07.8</t>
  </si>
  <si>
    <t>Actualizar estado de reservas</t>
  </si>
  <si>
    <t>Sprint 4 – Iteración 4 (Ángel)</t>
  </si>
  <si>
    <t>Módulo 8 — Gestión de domicilios</t>
  </si>
  <si>
    <t>RF-08.1</t>
  </si>
  <si>
    <t>Registrar pedidos a domicilio</t>
  </si>
  <si>
    <t>RF-08.2</t>
  </si>
  <si>
    <t>Registrar información del cliente</t>
  </si>
  <si>
    <t>RF-08.3</t>
  </si>
  <si>
    <t>Registrar dirección de entrega</t>
  </si>
  <si>
    <t>RF-08.4</t>
  </si>
  <si>
    <t>Consultar pedidos a domicilio</t>
  </si>
  <si>
    <t>RF-08.5</t>
  </si>
  <si>
    <t>Asignar pedidos para entrega</t>
  </si>
  <si>
    <t>RF-08.6</t>
  </si>
  <si>
    <t>Actualizar estado del domicilio</t>
  </si>
  <si>
    <t>RF-08.7</t>
  </si>
  <si>
    <t>Registrar entrega del pedido</t>
  </si>
  <si>
    <t>RF-08.8</t>
  </si>
  <si>
    <t>Consultar historial de domicilios</t>
  </si>
  <si>
    <t>Módulo 9 — Gestión de pagos</t>
  </si>
  <si>
    <t>RF-09.1</t>
  </si>
  <si>
    <t>Registrar pagos</t>
  </si>
  <si>
    <t>RF-09.2</t>
  </si>
  <si>
    <t>Seleccionar método de pago</t>
  </si>
  <si>
    <t>RF-09.3</t>
  </si>
  <si>
    <t>Calcular valor total del pedido</t>
  </si>
  <si>
    <t>RF-09.4</t>
  </si>
  <si>
    <t>Consultar estado del pago</t>
  </si>
  <si>
    <t>RF-09.5</t>
  </si>
  <si>
    <t>Asociar pagos con pedidos</t>
  </si>
  <si>
    <t>RF-09.6</t>
  </si>
  <si>
    <t>Generar comprobante de pago</t>
  </si>
  <si>
    <t>RF-09.7</t>
  </si>
  <si>
    <t>Consultar historial de pagos</t>
  </si>
  <si>
    <t>Módulo 10 — Ventas y consumo</t>
  </si>
  <si>
    <t>RF-10.1</t>
  </si>
  <si>
    <t>Registrar ventas</t>
  </si>
  <si>
    <t>RF-10.2</t>
  </si>
  <si>
    <t>Consultar ventas</t>
  </si>
  <si>
    <t>RF-10.3</t>
  </si>
  <si>
    <t>Registrar consumo de insumos</t>
  </si>
  <si>
    <t>RF-10.4</t>
  </si>
  <si>
    <t>Relacionar ventas con productos</t>
  </si>
  <si>
    <t>RF-10.5</t>
  </si>
  <si>
    <t>Consultar productos más vendidos</t>
  </si>
  <si>
    <t>RF-10.6</t>
  </si>
  <si>
    <t>Consultar historial de ventas y consumo</t>
  </si>
  <si>
    <t>Módulo 11 — Reportes y estadísticas</t>
  </si>
  <si>
    <t>RF-11.1</t>
  </si>
  <si>
    <t>Generar reportes de inventario</t>
  </si>
  <si>
    <t>RF-11.2</t>
  </si>
  <si>
    <t>Generar reportes de ventas</t>
  </si>
  <si>
    <t>RF-11.3</t>
  </si>
  <si>
    <t>Generar reportes de consumo</t>
  </si>
  <si>
    <t>RF-11.4</t>
  </si>
  <si>
    <t>RF-11.5</t>
  </si>
  <si>
    <t>Consultar información histórica</t>
  </si>
  <si>
    <t>RF-11.6</t>
  </si>
  <si>
    <t>Generar estadísticas para apoyar toma de decisiones</t>
  </si>
  <si>
    <t>PF totales del proyecto</t>
  </si>
  <si>
    <t>PF entregados (70 %)</t>
  </si>
  <si>
    <t>PF pendientes (30 %)</t>
  </si>
  <si>
    <t>Porcentaje entregado (PF transaccionales)</t>
  </si>
  <si>
    <t>RF entregados / totales</t>
  </si>
  <si>
    <t>PFSA entregados (Iteraciones 1, 2 y 4 del equipo)</t>
  </si>
  <si>
    <t>376 de 515 = 73 %</t>
  </si>
  <si>
    <t>PARÁMETROS Y FÓRMULAS BASE — StockPot (ACTUALIZADO)</t>
  </si>
  <si>
    <t>PF unitario</t>
  </si>
  <si>
    <t>Parámetro</t>
  </si>
  <si>
    <t>Valor</t>
  </si>
  <si>
    <t>Regla clave</t>
  </si>
  <si>
    <t>VAF</t>
  </si>
  <si>
    <t>COCOMO II se aplica UNA SOLA VEZ al proyecto completo. Las 5 iteraciones se analizan con Puntos de Función y luego se consolida el PFA global para COCOMO.</t>
  </si>
  <si>
    <t>TDI</t>
  </si>
  <si>
    <t>LOC/PF Python</t>
  </si>
  <si>
    <t>20 LOC por Punto de Función</t>
  </si>
  <si>
    <t>COCOMO a</t>
  </si>
  <si>
    <t>COCOMO b</t>
  </si>
  <si>
    <t>COCOMO c</t>
  </si>
  <si>
    <t>COCOMO d</t>
  </si>
  <si>
    <t>Semanas del proyecto</t>
  </si>
  <si>
    <t>Duración calendario aproximada</t>
  </si>
  <si>
    <t>Semanas por iteración</t>
  </si>
  <si>
    <t>Número de iteraciones de desarrollo</t>
  </si>
  <si>
    <t>Iteraciones</t>
  </si>
  <si>
    <t>Meses académicos (proyecto completo)</t>
  </si>
  <si>
    <t>Salario desarrollador</t>
  </si>
  <si>
    <t>Salario administrador</t>
  </si>
  <si>
    <t>Salario arquitecto BD</t>
  </si>
  <si>
    <t>Salario QA</t>
  </si>
  <si>
    <t>Horas por Punto de Función</t>
  </si>
  <si>
    <t>Esfuerzo: 6 h/PF</t>
  </si>
  <si>
    <t>Horas por día</t>
  </si>
  <si>
    <t>Jornada diaria</t>
  </si>
  <si>
    <t>Días laborales por semana</t>
  </si>
  <si>
    <t>Lunes a sábado</t>
  </si>
  <si>
    <t>Inicio del proyecto</t>
  </si>
  <si>
    <t>Inicio confirmado</t>
  </si>
  <si>
    <t>Fin del proyecto</t>
  </si>
  <si>
    <t>Fin confirmado</t>
  </si>
  <si>
    <t>Inicio del desarrollo</t>
  </si>
  <si>
    <t>Desarrollo desde el 14/09/2026</t>
  </si>
  <si>
    <t>Fin del desarrollo</t>
  </si>
  <si>
    <t>% esfuerzo desarrollo</t>
  </si>
  <si>
    <t>Desarrollo representa 40% del esfuerzo</t>
  </si>
  <si>
    <t>Horas semanales por persona</t>
  </si>
  <si>
    <t>8 h/día × 6 días</t>
  </si>
  <si>
    <t>Días laborables proyecto</t>
  </si>
  <si>
    <t>Lunes-sábado; excluye domingos y festivos</t>
  </si>
  <si>
    <t>Días laborables desarrollo</t>
  </si>
  <si>
    <t>OBJETIVOS ESPECÍFICOS — TAXONOMÍA DE BLOOM</t>
  </si>
  <si>
    <t>N°</t>
  </si>
  <si>
    <t>Objetivo específico</t>
  </si>
  <si>
    <t>Nivel Bloom</t>
  </si>
  <si>
    <t>Iteraciones donde se evidencia</t>
  </si>
  <si>
    <t>Identificar las materias primas e insumos, así como los procesos relacionados con su registro, almacenamiento, consumo y control en restaurantes pequeños y medianos.</t>
  </si>
  <si>
    <t>Conocimiento</t>
  </si>
  <si>
    <t>1–2</t>
  </si>
  <si>
    <t>Describir los procesos de gestión de inventario, pedidos, ventas y consumo, así como la comunicación entre las áreas de atención y cocina.</t>
  </si>
  <si>
    <t>Comprensión</t>
  </si>
  <si>
    <t>1–3</t>
  </si>
  <si>
    <t>Aplicar los requisitos funcionales y no funcionales identificados para establecer las funcionalidades de StockPot orientadas a la gestión de inventario, pedidos y procesos operativos.</t>
  </si>
  <si>
    <t>Aplicación</t>
  </si>
  <si>
    <t>2–3</t>
  </si>
  <si>
    <t>Analizar la relación entre la disponibilidad y el consumo de insumos, los pedidos, las ventas y las actividades de las áreas de atención y cocina.</t>
  </si>
  <si>
    <t>Análisis</t>
  </si>
  <si>
    <t>3–4</t>
  </si>
  <si>
    <t>Evaluar la información generada sobre inventario, consumo y ventas para establecer indicadores que apoyen la toma de decisiones y el control de los procesos operativos.</t>
  </si>
  <si>
    <t>Evaluación</t>
  </si>
  <si>
    <t>5</t>
  </si>
  <si>
    <t>Diseñar e integrar StockPot como un sistema de gestión para restaurantes pequeños y medianos que permita controlar el inventario, gestionar pedidos, facilitar la comunicación entre atención y cocina y generar información sobre consumo y ventas.</t>
  </si>
  <si>
    <t>Creación</t>
  </si>
  <si>
    <t>ITERACIÓN 1 — Gestión de usuarios y roles + Gestión de proveedores</t>
  </si>
  <si>
    <t>PLAN DE ACTIVIDADES Y PERT</t>
  </si>
  <si>
    <t>Período</t>
  </si>
  <si>
    <t>14/09/2026 al 24/09/2026</t>
  </si>
  <si>
    <t>Días laborables</t>
  </si>
  <si>
    <t>1 y 2 — Identificar materias primas/procesos y describir la gestión de inventario y proveedores.</t>
  </si>
  <si>
    <t>ID</t>
  </si>
  <si>
    <t>NOMBRE DE TAREA</t>
  </si>
  <si>
    <t>TO</t>
  </si>
  <si>
    <t>TN</t>
  </si>
  <si>
    <t>TP</t>
  </si>
  <si>
    <t>TE DÍAS</t>
  </si>
  <si>
    <t>TE HORAS</t>
  </si>
  <si>
    <t>DEPENDENCIA</t>
  </si>
  <si>
    <t>SUPUESTOS</t>
  </si>
  <si>
    <t>Reunión de inicio de la iteración</t>
  </si>
  <si>
    <t>Reunión / seguimiento</t>
  </si>
  <si>
    <t>Requerimiento</t>
  </si>
  <si>
    <t>Planificación y análisis: revisar requerimientos y alcance</t>
  </si>
  <si>
    <t>Flujo de la iteración</t>
  </si>
  <si>
    <t>Planificación y análisis: validar RF y RNF</t>
  </si>
  <si>
    <t>Diseño: definir arquitectura y componentes</t>
  </si>
  <si>
    <t>Diseño: diseñar interfaz de la iteración</t>
  </si>
  <si>
    <t>Diseño: diseñar base de datos de la iteración</t>
  </si>
  <si>
    <t>Diseño: revisar y aprobar diseño</t>
  </si>
  <si>
    <t>Desarrollo: codificación FrontEnd de los módulos</t>
  </si>
  <si>
    <t>Total módulo 1</t>
  </si>
  <si>
    <t>Desarrollo: codificación BackEnd de los módulos</t>
  </si>
  <si>
    <t>Desarrollo: integración de módulos</t>
  </si>
  <si>
    <t>Pruebas: elaborar y ejecutar casos de prueba</t>
  </si>
  <si>
    <t>Pruebas: aceptación y correcciones</t>
  </si>
  <si>
    <t>Reunión de cierre y revisión de la iteración</t>
  </si>
  <si>
    <t>Total módulo 2</t>
  </si>
  <si>
    <t>RESUMEN DE PUNTOS DE FUNCIÓN</t>
  </si>
  <si>
    <t>ARCHIVOS LÓGICOS INTERNOS (ILF)</t>
  </si>
  <si>
    <t>Componente</t>
  </si>
  <si>
    <t>Archivo lógico interno</t>
  </si>
  <si>
    <t>Entrada Externa (EI)</t>
  </si>
  <si>
    <t>ILF01</t>
  </si>
  <si>
    <t>Usuarios</t>
  </si>
  <si>
    <t>Salida Externa (EO)</t>
  </si>
  <si>
    <t>ILF02</t>
  </si>
  <si>
    <t>Roles y permisos</t>
  </si>
  <si>
    <t>Consulta Externa (EQ)</t>
  </si>
  <si>
    <t>ILF03</t>
  </si>
  <si>
    <t>Proveedores</t>
  </si>
  <si>
    <t>PF transaccionales</t>
  </si>
  <si>
    <t>ILF17</t>
  </si>
  <si>
    <t>Órdenes de compra</t>
  </si>
  <si>
    <t>Total ILF</t>
  </si>
  <si>
    <t>ESTIMACIÓN DE LA ITERACIÓN</t>
  </si>
  <si>
    <t>ILF</t>
  </si>
  <si>
    <t>PFSA</t>
  </si>
  <si>
    <t>PFA</t>
  </si>
  <si>
    <t>LOC</t>
  </si>
  <si>
    <t>KLOC</t>
  </si>
  <si>
    <t>ESFUERZO POR PUNTOS DE FUNCIÓN</t>
  </si>
  <si>
    <t>PFA de la iteración</t>
  </si>
  <si>
    <t>Horas por PF</t>
  </si>
  <si>
    <t>Horas estimadas de la iteración</t>
  </si>
  <si>
    <t>Horas para desarrollo (40%)</t>
  </si>
  <si>
    <t>ITERACIÓN 2 — Gestión de inventario + Productos y menú</t>
  </si>
  <si>
    <t>25/09/2026 al 06/10/2026</t>
  </si>
  <si>
    <t>1, 2 y 3 — Aplicar los requisitos al control de inventario y productos.</t>
  </si>
  <si>
    <t>Total módulo 3</t>
  </si>
  <si>
    <t>Total módulo 4</t>
  </si>
  <si>
    <t>ILF04</t>
  </si>
  <si>
    <t>Insumos</t>
  </si>
  <si>
    <t>ILF05</t>
  </si>
  <si>
    <t>Movimientos de inventario</t>
  </si>
  <si>
    <t>ILF06</t>
  </si>
  <si>
    <t>Productos y platos</t>
  </si>
  <si>
    <t>ILF07</t>
  </si>
  <si>
    <t>Recetas / composición</t>
  </si>
  <si>
    <t>ITERACIÓN 3 — Gestión de pedidos + Gestión de cocina</t>
  </si>
  <si>
    <t>07/10/2026 al 19/10/2026</t>
  </si>
  <si>
    <t>2, 3 y 4 — Aplicar funcionalidades y analizar la relación entre pedidos, insumos y cocina.</t>
  </si>
  <si>
    <t>Total módulo 5</t>
  </si>
  <si>
    <t>Total módulo 6</t>
  </si>
  <si>
    <t>ILF08</t>
  </si>
  <si>
    <t>Mesas</t>
  </si>
  <si>
    <t>ILF09</t>
  </si>
  <si>
    <t>Pedidos</t>
  </si>
  <si>
    <t>ILF10</t>
  </si>
  <si>
    <t>Detalle de pedidos</t>
  </si>
  <si>
    <t>ITERACIÓN 4 — Gestión de reservas + Gestión de domicilios</t>
  </si>
  <si>
    <t>20/10/2026 al 30/10/2026</t>
  </si>
  <si>
    <t>2 y 4 — Integrar reservas y domicilios y analizar su relación con la operación.</t>
  </si>
  <si>
    <t>Total módulo 7</t>
  </si>
  <si>
    <t>Total módulo 8</t>
  </si>
  <si>
    <t>ILF11</t>
  </si>
  <si>
    <t>Reservas</t>
  </si>
  <si>
    <t>ILF12</t>
  </si>
  <si>
    <t>Clientes</t>
  </si>
  <si>
    <t>ILF13</t>
  </si>
  <si>
    <t>Domicilios</t>
  </si>
  <si>
    <t>ITERACIÓN 5 — Gestión de pagos + Ventas/consumo + Reportes</t>
  </si>
  <si>
    <t>31/10/2026 al 13/11/2026</t>
  </si>
  <si>
    <t>5 y 6 — Evaluar información de ventas/consumo y diseñar e integrar StockPot.</t>
  </si>
  <si>
    <t>Total módulo 9</t>
  </si>
  <si>
    <t>Pruebas: integración final y consolidación de reportes</t>
  </si>
  <si>
    <t>Pruebas de aceptación y correcciones</t>
  </si>
  <si>
    <t>Pruebas finalizadas</t>
  </si>
  <si>
    <t>Total módulo 10</t>
  </si>
  <si>
    <t>Total módulo 11</t>
  </si>
  <si>
    <t>ILF14</t>
  </si>
  <si>
    <t>Pagos</t>
  </si>
  <si>
    <t>ILF15</t>
  </si>
  <si>
    <t>Ventas</t>
  </si>
  <si>
    <t>ILF16</t>
  </si>
  <si>
    <t>Consumo</t>
  </si>
  <si>
    <t>CONSOLIDADO — PF + ESFUERZO + COCOMO II GLOBAL</t>
  </si>
  <si>
    <t>Iteración</t>
  </si>
  <si>
    <t>Módulos</t>
  </si>
  <si>
    <t>Horas/PF</t>
  </si>
  <si>
    <t>Horas estimadas</t>
  </si>
  <si>
    <t>Desarrollo 40% (h)</t>
  </si>
  <si>
    <t>Iteración 1</t>
  </si>
  <si>
    <t>Gestión de usuarios y roles + Gestión de proveedores</t>
  </si>
  <si>
    <t>Iteración 2</t>
  </si>
  <si>
    <t>Gestión de inventario + Productos y menú</t>
  </si>
  <si>
    <t>Iteración 3</t>
  </si>
  <si>
    <t>Gestión de pedidos + Gestión de cocina</t>
  </si>
  <si>
    <t>Iteración 4</t>
  </si>
  <si>
    <t>Gestión de reservas + Gestión de domicilios</t>
  </si>
  <si>
    <t>Iteración 5</t>
  </si>
  <si>
    <t>Gestión de pagos + Ventas/consumo + Reportes</t>
  </si>
  <si>
    <t>TOTAL</t>
  </si>
  <si>
    <t>COCOMO II — APLICACIÓN ÚNICA AL PROYECTO COMPLETO</t>
  </si>
  <si>
    <t>KLOC global</t>
  </si>
  <si>
    <t>Modelo</t>
  </si>
  <si>
    <t>Orgánico</t>
  </si>
  <si>
    <t>a</t>
  </si>
  <si>
    <t>b</t>
  </si>
  <si>
    <t>c</t>
  </si>
  <si>
    <t>d</t>
  </si>
  <si>
    <t>Esfuerzo global (PM)</t>
  </si>
  <si>
    <t>TDEV global (meses)</t>
  </si>
  <si>
    <t>Desarrolladores según COCOMO</t>
  </si>
  <si>
    <t>Duración calendario proyecto (meses)</t>
  </si>
  <si>
    <t>Inicio desarrollo</t>
  </si>
  <si>
    <t>Nota</t>
  </si>
  <si>
    <t>COCOMO II se aplica una sola vez al proyecto completo. Las iteraciones se estiman con PF y el 40% de desarrollo se controla como esfuerzo.</t>
  </si>
  <si>
    <t>Nota metodológica</t>
  </si>
  <si>
    <t>COCOMO II se aplica una sola vez al proyecto completo. Las iteraciones se estiman con Puntos de Función y se consolidan antes de calcular COCOMO. El TDEV de 9,30 meses es el resultado teórico del modelo; el cronograma académico es fijo de 10 semanas.</t>
  </si>
  <si>
    <t>DISTRIBUCIÓN DE ESFUERZO POR FASE (GUÍA DEL EJEMPLO)</t>
  </si>
  <si>
    <t>Fase</t>
  </si>
  <si>
    <t>%</t>
  </si>
  <si>
    <t>Horas</t>
  </si>
  <si>
    <t>Días-persona a 8 h</t>
  </si>
  <si>
    <t>Planificación y análisis</t>
  </si>
  <si>
    <t>Diseño</t>
  </si>
  <si>
    <t>Desarrollo</t>
  </si>
  <si>
    <t>Pruebas</t>
  </si>
  <si>
    <t>WBS/EDT + PERT — StockPot — 10/08/2026 a 13/11/2026</t>
  </si>
  <si>
    <t>Proyecto</t>
  </si>
  <si>
    <t>StockPot</t>
  </si>
  <si>
    <t>Jornada</t>
  </si>
  <si>
    <t>Lunes a sábado, 8 horas/día; domingos y festivos no laborables</t>
  </si>
  <si>
    <t>14/09/2026</t>
  </si>
  <si>
    <t>13/11/2026</t>
  </si>
  <si>
    <t>5 iteraciones: 10/10/10/10/11 días laborables</t>
  </si>
  <si>
    <t>Código</t>
  </si>
  <si>
    <t>Inicio</t>
  </si>
  <si>
    <t>Fin</t>
  </si>
  <si>
    <t>Dependencia</t>
  </si>
  <si>
    <t>Resultado / entregable</t>
  </si>
  <si>
    <t>1</t>
  </si>
  <si>
    <t>Acta, alcance e interesados</t>
  </si>
  <si>
    <t>2</t>
  </si>
  <si>
    <t>Planificación y análisis del sistema</t>
  </si>
  <si>
    <t>Requerimientos, RF/RNF y planificación</t>
  </si>
  <si>
    <t>3</t>
  </si>
  <si>
    <t>Diseño del sistema</t>
  </si>
  <si>
    <t>Arquitectura, interfaz y BD</t>
  </si>
  <si>
    <t>4</t>
  </si>
  <si>
    <t>Desarrollo del sistema</t>
  </si>
  <si>
    <t>Incrementos de StockPot</t>
  </si>
  <si>
    <t>Pruebas dentro de cada iteración y cierre final</t>
  </si>
  <si>
    <t>6</t>
  </si>
  <si>
    <t>Implementación</t>
  </si>
  <si>
    <t>Versión preparada para implementación</t>
  </si>
  <si>
    <t>7</t>
  </si>
  <si>
    <t>Cierre del proyecto</t>
  </si>
  <si>
    <t>Documentación y cierre</t>
  </si>
  <si>
    <t>Reunión inicio</t>
  </si>
  <si>
    <t>Reunión cierre</t>
  </si>
  <si>
    <t>14/09/2026 - 24/09/2026</t>
  </si>
  <si>
    <t>Fase 3</t>
  </si>
  <si>
    <t>25/09/2026 - 06/10/2026</t>
  </si>
  <si>
    <t>07/10/2026 - 19/10/2026</t>
  </si>
  <si>
    <t>20/10/2026 - 30/10/2026</t>
  </si>
  <si>
    <t>31/10/2026 - 13/11/2026</t>
  </si>
  <si>
    <t>COSTOS Y ROLES — CRONOGRAMA ACADÉMICO DE 10 SEMANAS</t>
  </si>
  <si>
    <t>Rol</t>
  </si>
  <si>
    <t>Cantidad</t>
  </si>
  <si>
    <t>Tiempo (meses)</t>
  </si>
  <si>
    <t>Salario mensual</t>
  </si>
  <si>
    <t>Costo total</t>
  </si>
  <si>
    <t>Desarrolladores</t>
  </si>
  <si>
    <t>Administrador/Gestor del proyecto</t>
  </si>
  <si>
    <t>Arquitecto de base de datos</t>
  </si>
  <si>
    <t>QA / Analista de calidad</t>
  </si>
  <si>
    <t>Subtotal personal</t>
  </si>
  <si>
    <t>El costo usa el calendario académico de 10 semanas. COCOMO II se aplica una sola vez y su TDEV teórico de 9,30 meses se conserva como resultado del modelo.</t>
  </si>
  <si>
    <t>PRESUPUESTO Y BAC — 10 SEMANAS</t>
  </si>
  <si>
    <t>Recurso</t>
  </si>
  <si>
    <t>INDICADOR</t>
  </si>
  <si>
    <t>VALOR</t>
  </si>
  <si>
    <t>BAC académico 10 semanas</t>
  </si>
  <si>
    <t>Esfuerzo COCOMO global (PM)</t>
  </si>
  <si>
    <t>TDEV COCOMO global (meses)</t>
  </si>
  <si>
    <t>Duración académica (meses)</t>
  </si>
  <si>
    <t>Desarrolladores para comprimir a 10 semanas</t>
  </si>
  <si>
    <t>Recursos y materiales</t>
  </si>
  <si>
    <t>Costo unitario</t>
  </si>
  <si>
    <t>El BAC usa el cronograma académico de 10 semanas. COCOMO se calcula una sola vez sobre 11,68 KLOC. El modelo arroja 31,70 PM y 9,30 meses teóricos; no se suman esfuerzos de COCOMO por iteración.</t>
  </si>
  <si>
    <t>Servicio de hosting durante el proyecto</t>
  </si>
  <si>
    <t>Dominio web</t>
  </si>
  <si>
    <t>Servicios de almacenamiento/respaldo</t>
  </si>
  <si>
    <t>Equipos y periféricos de apoyo</t>
  </si>
  <si>
    <t>Material de capacitación/documentación</t>
  </si>
  <si>
    <t>Software/herramientas de apoyo</t>
  </si>
  <si>
    <t>Reserva para recursos tecnológicos</t>
  </si>
  <si>
    <t>Total recursos y materiales</t>
  </si>
  <si>
    <t>Fecha</t>
  </si>
  <si>
    <t>Festivo</t>
  </si>
  <si>
    <t>Asunción de la Virgen</t>
  </si>
  <si>
    <t>Domingos y festivos no laborables. El 16/11 está fuera del proyecto.</t>
  </si>
  <si>
    <t>Día de la Raza</t>
  </si>
  <si>
    <t>Todos los Santos</t>
  </si>
  <si>
    <t>Independencia de Cartagena (fuera del proyecto)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</si>
</sst>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yyyy\-mm\-dd\ h:mm:ss"/>
    <numFmt numFmtId="166" formatCode="yyyy\-mm\-dd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2"/>
      <name val="Cambria"/>
      <charset val="1"/>
    </font>
    <font>
      <b/>
      <sz val="14"/>
      <color rgb="FF8F4C2C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9503D"/>
        <bgColor rgb="FFC65911"/>
      </patternFill>
    </fill>
    <fill>
      <patternFill patternType="solid">
        <fgColor rgb="FFD9EAD3"/>
        <bgColor rgb="FFE7E6E6"/>
      </patternFill>
    </fill>
    <fill>
      <patternFill patternType="solid">
        <fgColor rgb="FFFFF2CC"/>
        <bgColor rgb="FFEDEDED"/>
      </patternFill>
    </fill>
    <fill>
      <patternFill patternType="solid">
        <fgColor rgb="FFC65911"/>
        <bgColor rgb="FFB9503D"/>
      </patternFill>
    </fill>
    <fill>
      <patternFill patternType="solid">
        <fgColor rgb="FFF4B183"/>
        <bgColor rgb="FFFF99CC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rgb="FFF5DED5"/>
      </patternFill>
    </fill>
    <fill>
      <patternFill patternType="solid">
        <fgColor rgb="FFD7F5DD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4" fontId="0" fillId="0" borderId="0" xfId="0" applyNumberFormat="1"/>
    <xf numFmtId="9" fontId="0" fillId="0" borderId="0" xfId="0" applyNumberFormat="1"/>
    <xf numFmtId="0" fontId="3" fillId="5" borderId="0" xfId="0" applyFont="1" applyFill="1"/>
    <xf numFmtId="0" fontId="0" fillId="0" borderId="0" xfId="0" applyAlignment="1">
      <alignment wrapText="1"/>
    </xf>
    <xf numFmtId="0" fontId="2" fillId="6" borderId="2" xfId="0" applyFont="1" applyFill="1" applyBorder="1"/>
    <xf numFmtId="0" fontId="0" fillId="0" borderId="2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0" xfId="0" applyFont="1"/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6" borderId="0" xfId="0" applyFont="1" applyFill="1"/>
    <xf numFmtId="0" fontId="2" fillId="8" borderId="0" xfId="0" applyFont="1" applyFill="1"/>
    <xf numFmtId="10" fontId="0" fillId="0" borderId="0" xfId="0" applyNumberFormat="1"/>
    <xf numFmtId="0" fontId="3" fillId="5" borderId="2" xfId="0" applyFont="1" applyFill="1" applyBorder="1"/>
    <xf numFmtId="165" fontId="0" fillId="0" borderId="0" xfId="0" applyNumberFormat="1"/>
    <xf numFmtId="166" fontId="0" fillId="0" borderId="0" xfId="0" applyNumberFormat="1"/>
    <xf numFmtId="164" fontId="4" fillId="0" borderId="1" xfId="0" applyNumberFormat="1" applyFont="1" applyBorder="1" applyAlignment="1">
      <alignment vertical="top" wrapText="1"/>
    </xf>
    <xf numFmtId="0" fontId="6" fillId="0" borderId="0" xfId="0" applyFont="1"/>
    <xf numFmtId="0" fontId="7" fillId="9" borderId="3" xfId="0" applyFont="1" applyFill="1" applyBorder="1" applyAlignment="1">
      <alignment vertical="center" wrapText="1"/>
    </xf>
    <xf numFmtId="0" fontId="0" fillId="10" borderId="3" xfId="0" applyFill="1" applyBorder="1"/>
    <xf numFmtId="0" fontId="0" fillId="11" borderId="3" xfId="0" applyFill="1" applyBorder="1"/>
    <xf numFmtId="0" fontId="7" fillId="0" borderId="0" xfId="0" applyFont="1"/>
    <xf numFmtId="167" fontId="7" fillId="0" borderId="0" xfId="0" applyNumberFormat="1" applyFont="1"/>
    <xf numFmtId="0" fontId="0" fillId="4" borderId="0" xfId="0" applyFill="1" applyAlignment="1">
      <alignment wrapText="1"/>
    </xf>
    <xf numFmtId="0" fontId="0" fillId="0" borderId="0" xfId="0"/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9503D"/>
      <rgbColor rgb="FFFFF2CC"/>
      <rgbColor rgb="FFEDEDED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9EAD3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34" customWidth="1"/>
    <col min="3" max="3" width="9" customWidth="1"/>
    <col min="4" max="4" width="46" customWidth="1"/>
    <col min="5" max="5" width="7" customWidth="1"/>
    <col min="6" max="6" width="12" customWidth="1"/>
    <col min="7" max="7" width="6" customWidth="1"/>
    <col min="8" max="8" width="17" customWidth="1"/>
    <col min="9" max="9" width="12" customWidth="1"/>
  </cols>
  <sheetData>
    <row r="1" spans="1:9" ht="18" x14ac:dyDescent="0.35">
      <c r="A1" s="25" t="s">
        <v>0</v>
      </c>
    </row>
    <row r="2" spans="1:9" x14ac:dyDescent="0.3">
      <c r="A2" t="s">
        <v>1</v>
      </c>
    </row>
    <row r="4" spans="1:9" ht="28.8" x14ac:dyDescent="0.3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6" t="s">
        <v>10</v>
      </c>
    </row>
    <row r="5" spans="1:9" x14ac:dyDescent="0.3">
      <c r="A5" s="27" t="s">
        <v>11</v>
      </c>
      <c r="B5" s="27" t="s">
        <v>12</v>
      </c>
      <c r="C5" s="27" t="s">
        <v>13</v>
      </c>
      <c r="D5" s="27" t="s">
        <v>14</v>
      </c>
      <c r="E5" s="27" t="s">
        <v>15</v>
      </c>
      <c r="F5" s="27" t="s">
        <v>16</v>
      </c>
      <c r="G5" s="27">
        <v>4</v>
      </c>
      <c r="H5" s="27" t="s">
        <v>17</v>
      </c>
      <c r="I5" s="27">
        <v>6</v>
      </c>
    </row>
    <row r="6" spans="1:9" x14ac:dyDescent="0.3">
      <c r="A6" s="27" t="s">
        <v>11</v>
      </c>
      <c r="B6" s="27" t="s">
        <v>12</v>
      </c>
      <c r="C6" s="27" t="s">
        <v>18</v>
      </c>
      <c r="D6" s="27" t="s">
        <v>19</v>
      </c>
      <c r="E6" s="27" t="s">
        <v>20</v>
      </c>
      <c r="F6" s="27" t="s">
        <v>21</v>
      </c>
      <c r="G6" s="27">
        <v>3</v>
      </c>
      <c r="H6" s="27" t="s">
        <v>17</v>
      </c>
      <c r="I6" s="27">
        <v>2</v>
      </c>
    </row>
    <row r="7" spans="1:9" x14ac:dyDescent="0.3">
      <c r="A7" s="27" t="s">
        <v>11</v>
      </c>
      <c r="B7" s="27" t="s">
        <v>12</v>
      </c>
      <c r="C7" s="27" t="s">
        <v>22</v>
      </c>
      <c r="D7" s="27" t="s">
        <v>23</v>
      </c>
      <c r="E7" s="27" t="s">
        <v>15</v>
      </c>
      <c r="F7" s="27" t="s">
        <v>16</v>
      </c>
      <c r="G7" s="27">
        <v>4</v>
      </c>
      <c r="H7" s="27" t="s">
        <v>17</v>
      </c>
      <c r="I7" s="27">
        <v>8</v>
      </c>
    </row>
    <row r="8" spans="1:9" x14ac:dyDescent="0.3">
      <c r="A8" s="27" t="s">
        <v>11</v>
      </c>
      <c r="B8" s="27" t="s">
        <v>12</v>
      </c>
      <c r="C8" s="27" t="s">
        <v>24</v>
      </c>
      <c r="D8" s="27" t="s">
        <v>25</v>
      </c>
      <c r="E8" s="27" t="s">
        <v>20</v>
      </c>
      <c r="F8" s="27" t="s">
        <v>21</v>
      </c>
      <c r="G8" s="27">
        <v>3</v>
      </c>
      <c r="H8" s="27" t="s">
        <v>17</v>
      </c>
      <c r="I8" s="27">
        <v>8</v>
      </c>
    </row>
    <row r="9" spans="1:9" x14ac:dyDescent="0.3">
      <c r="A9" s="27" t="s">
        <v>11</v>
      </c>
      <c r="B9" s="27" t="s">
        <v>12</v>
      </c>
      <c r="C9" s="27" t="s">
        <v>26</v>
      </c>
      <c r="D9" s="27" t="s">
        <v>27</v>
      </c>
      <c r="E9" s="27" t="s">
        <v>15</v>
      </c>
      <c r="F9" s="27" t="s">
        <v>21</v>
      </c>
      <c r="G9" s="27">
        <v>3</v>
      </c>
      <c r="H9" s="27" t="s">
        <v>17</v>
      </c>
      <c r="I9" s="27">
        <v>6</v>
      </c>
    </row>
    <row r="10" spans="1:9" x14ac:dyDescent="0.3">
      <c r="A10" s="27" t="s">
        <v>11</v>
      </c>
      <c r="B10" s="27" t="s">
        <v>12</v>
      </c>
      <c r="C10" s="27" t="s">
        <v>28</v>
      </c>
      <c r="D10" s="27" t="s">
        <v>29</v>
      </c>
      <c r="E10" s="27" t="s">
        <v>15</v>
      </c>
      <c r="F10" s="27" t="s">
        <v>16</v>
      </c>
      <c r="G10" s="27">
        <v>4</v>
      </c>
      <c r="H10" s="27" t="s">
        <v>17</v>
      </c>
      <c r="I10" s="27">
        <v>7</v>
      </c>
    </row>
    <row r="11" spans="1:9" x14ac:dyDescent="0.3">
      <c r="A11" s="27" t="s">
        <v>11</v>
      </c>
      <c r="B11" s="27" t="s">
        <v>30</v>
      </c>
      <c r="C11" s="27" t="s">
        <v>31</v>
      </c>
      <c r="D11" s="27" t="s">
        <v>32</v>
      </c>
      <c r="E11" s="27" t="s">
        <v>15</v>
      </c>
      <c r="F11" s="27" t="s">
        <v>16</v>
      </c>
      <c r="G11" s="27">
        <v>4</v>
      </c>
      <c r="H11" s="27" t="s">
        <v>17</v>
      </c>
      <c r="I11" s="27">
        <v>5</v>
      </c>
    </row>
    <row r="12" spans="1:9" x14ac:dyDescent="0.3">
      <c r="A12" s="27" t="s">
        <v>11</v>
      </c>
      <c r="B12" s="27" t="s">
        <v>30</v>
      </c>
      <c r="C12" s="27" t="s">
        <v>33</v>
      </c>
      <c r="D12" s="27" t="s">
        <v>34</v>
      </c>
      <c r="E12" s="27" t="s">
        <v>20</v>
      </c>
      <c r="F12" s="27" t="s">
        <v>21</v>
      </c>
      <c r="G12" s="27">
        <v>3</v>
      </c>
      <c r="H12" s="27" t="s">
        <v>17</v>
      </c>
      <c r="I12" s="27">
        <v>4</v>
      </c>
    </row>
    <row r="13" spans="1:9" x14ac:dyDescent="0.3">
      <c r="A13" s="27" t="s">
        <v>11</v>
      </c>
      <c r="B13" s="27" t="s">
        <v>30</v>
      </c>
      <c r="C13" s="27" t="s">
        <v>35</v>
      </c>
      <c r="D13" s="27" t="s">
        <v>36</v>
      </c>
      <c r="E13" s="27" t="s">
        <v>15</v>
      </c>
      <c r="F13" s="27" t="s">
        <v>16</v>
      </c>
      <c r="G13" s="27">
        <v>4</v>
      </c>
      <c r="H13" s="27" t="s">
        <v>17</v>
      </c>
      <c r="I13" s="27">
        <v>4</v>
      </c>
    </row>
    <row r="14" spans="1:9" x14ac:dyDescent="0.3">
      <c r="A14" s="27" t="s">
        <v>11</v>
      </c>
      <c r="B14" s="27" t="s">
        <v>30</v>
      </c>
      <c r="C14" s="27" t="s">
        <v>37</v>
      </c>
      <c r="D14" s="27" t="s">
        <v>38</v>
      </c>
      <c r="E14" s="27" t="s">
        <v>15</v>
      </c>
      <c r="F14" s="27" t="s">
        <v>16</v>
      </c>
      <c r="G14" s="27">
        <v>4</v>
      </c>
      <c r="H14" s="27" t="s">
        <v>17</v>
      </c>
      <c r="I14" s="27">
        <v>6</v>
      </c>
    </row>
    <row r="15" spans="1:9" x14ac:dyDescent="0.3">
      <c r="A15" s="27" t="s">
        <v>11</v>
      </c>
      <c r="B15" s="27" t="s">
        <v>30</v>
      </c>
      <c r="C15" s="27" t="s">
        <v>39</v>
      </c>
      <c r="D15" s="27" t="s">
        <v>40</v>
      </c>
      <c r="E15" s="27" t="s">
        <v>41</v>
      </c>
      <c r="F15" s="27" t="s">
        <v>16</v>
      </c>
      <c r="G15" s="27">
        <v>5</v>
      </c>
      <c r="H15" s="27" t="s">
        <v>17</v>
      </c>
      <c r="I15" s="27">
        <v>3</v>
      </c>
    </row>
    <row r="16" spans="1:9" x14ac:dyDescent="0.3">
      <c r="A16" s="27" t="s">
        <v>11</v>
      </c>
      <c r="B16" s="27" t="s">
        <v>30</v>
      </c>
      <c r="C16" s="27" t="s">
        <v>42</v>
      </c>
      <c r="D16" s="27" t="s">
        <v>43</v>
      </c>
      <c r="E16" s="27" t="s">
        <v>15</v>
      </c>
      <c r="F16" s="27" t="s">
        <v>44</v>
      </c>
      <c r="G16" s="27">
        <v>6</v>
      </c>
      <c r="H16" s="27" t="s">
        <v>17</v>
      </c>
      <c r="I16" s="27">
        <v>17</v>
      </c>
    </row>
    <row r="17" spans="1:9" x14ac:dyDescent="0.3">
      <c r="A17" s="27" t="s">
        <v>11</v>
      </c>
      <c r="B17" s="27" t="s">
        <v>30</v>
      </c>
      <c r="C17" s="27" t="s">
        <v>45</v>
      </c>
      <c r="D17" s="27" t="s">
        <v>46</v>
      </c>
      <c r="E17" s="27" t="s">
        <v>15</v>
      </c>
      <c r="F17" s="27" t="s">
        <v>16</v>
      </c>
      <c r="G17" s="27">
        <v>4</v>
      </c>
      <c r="H17" s="27" t="s">
        <v>17</v>
      </c>
      <c r="I17" s="27">
        <v>7</v>
      </c>
    </row>
    <row r="18" spans="1:9" x14ac:dyDescent="0.3">
      <c r="A18" s="27" t="s">
        <v>11</v>
      </c>
      <c r="B18" s="27" t="s">
        <v>30</v>
      </c>
      <c r="C18" s="27" t="s">
        <v>47</v>
      </c>
      <c r="D18" s="27" t="s">
        <v>48</v>
      </c>
      <c r="E18" s="27" t="s">
        <v>15</v>
      </c>
      <c r="F18" s="27" t="s">
        <v>16</v>
      </c>
      <c r="G18" s="27">
        <v>4</v>
      </c>
      <c r="H18" s="27" t="s">
        <v>17</v>
      </c>
      <c r="I18" s="27">
        <v>4</v>
      </c>
    </row>
    <row r="19" spans="1:9" x14ac:dyDescent="0.3">
      <c r="A19" s="27" t="s">
        <v>49</v>
      </c>
      <c r="B19" s="27" t="s">
        <v>50</v>
      </c>
      <c r="C19" s="27" t="s">
        <v>51</v>
      </c>
      <c r="D19" s="27" t="s">
        <v>52</v>
      </c>
      <c r="E19" s="27" t="s">
        <v>15</v>
      </c>
      <c r="F19" s="27" t="s">
        <v>16</v>
      </c>
      <c r="G19" s="27">
        <v>4</v>
      </c>
      <c r="H19" s="27" t="s">
        <v>17</v>
      </c>
      <c r="I19" s="27">
        <v>5</v>
      </c>
    </row>
    <row r="20" spans="1:9" x14ac:dyDescent="0.3">
      <c r="A20" s="27" t="s">
        <v>49</v>
      </c>
      <c r="B20" s="27" t="s">
        <v>50</v>
      </c>
      <c r="C20" s="27" t="s">
        <v>53</v>
      </c>
      <c r="D20" s="27" t="s">
        <v>54</v>
      </c>
      <c r="E20" s="27" t="s">
        <v>20</v>
      </c>
      <c r="F20" s="27" t="s">
        <v>21</v>
      </c>
      <c r="G20" s="27">
        <v>3</v>
      </c>
      <c r="H20" s="27" t="s">
        <v>17</v>
      </c>
      <c r="I20" s="27">
        <v>3</v>
      </c>
    </row>
    <row r="21" spans="1:9" x14ac:dyDescent="0.3">
      <c r="A21" s="27" t="s">
        <v>49</v>
      </c>
      <c r="B21" s="27" t="s">
        <v>50</v>
      </c>
      <c r="C21" s="27" t="s">
        <v>55</v>
      </c>
      <c r="D21" s="27" t="s">
        <v>56</v>
      </c>
      <c r="E21" s="27" t="s">
        <v>15</v>
      </c>
      <c r="F21" s="27" t="s">
        <v>16</v>
      </c>
      <c r="G21" s="27">
        <v>4</v>
      </c>
      <c r="H21" s="27" t="s">
        <v>17</v>
      </c>
      <c r="I21" s="27">
        <v>5</v>
      </c>
    </row>
    <row r="22" spans="1:9" x14ac:dyDescent="0.3">
      <c r="A22" s="27" t="s">
        <v>49</v>
      </c>
      <c r="B22" s="27" t="s">
        <v>50</v>
      </c>
      <c r="C22" s="27" t="s">
        <v>57</v>
      </c>
      <c r="D22" s="27" t="s">
        <v>58</v>
      </c>
      <c r="E22" s="27" t="s">
        <v>15</v>
      </c>
      <c r="F22" s="27" t="s">
        <v>16</v>
      </c>
      <c r="G22" s="27">
        <v>4</v>
      </c>
      <c r="H22" s="27" t="s">
        <v>17</v>
      </c>
      <c r="I22" s="27">
        <v>7</v>
      </c>
    </row>
    <row r="23" spans="1:9" x14ac:dyDescent="0.3">
      <c r="A23" s="27" t="s">
        <v>49</v>
      </c>
      <c r="B23" s="27" t="s">
        <v>50</v>
      </c>
      <c r="C23" s="27" t="s">
        <v>59</v>
      </c>
      <c r="D23" s="27" t="s">
        <v>60</v>
      </c>
      <c r="E23" s="27" t="s">
        <v>15</v>
      </c>
      <c r="F23" s="27" t="s">
        <v>16</v>
      </c>
      <c r="G23" s="27">
        <v>4</v>
      </c>
      <c r="H23" s="27" t="s">
        <v>17</v>
      </c>
      <c r="I23" s="27">
        <v>4</v>
      </c>
    </row>
    <row r="24" spans="1:9" x14ac:dyDescent="0.3">
      <c r="A24" s="27" t="s">
        <v>49</v>
      </c>
      <c r="B24" s="27" t="s">
        <v>50</v>
      </c>
      <c r="C24" s="27" t="s">
        <v>61</v>
      </c>
      <c r="D24" s="27" t="s">
        <v>62</v>
      </c>
      <c r="E24" s="27" t="s">
        <v>20</v>
      </c>
      <c r="F24" s="27" t="s">
        <v>21</v>
      </c>
      <c r="G24" s="27">
        <v>3</v>
      </c>
      <c r="H24" s="27" t="s">
        <v>17</v>
      </c>
      <c r="I24" s="27">
        <v>1</v>
      </c>
    </row>
    <row r="25" spans="1:9" x14ac:dyDescent="0.3">
      <c r="A25" s="27" t="s">
        <v>49</v>
      </c>
      <c r="B25" s="27" t="s">
        <v>50</v>
      </c>
      <c r="C25" s="27" t="s">
        <v>63</v>
      </c>
      <c r="D25" s="27" t="s">
        <v>64</v>
      </c>
      <c r="E25" s="27" t="s">
        <v>15</v>
      </c>
      <c r="F25" s="27" t="s">
        <v>21</v>
      </c>
      <c r="G25" s="27">
        <v>3</v>
      </c>
      <c r="H25" s="27" t="s">
        <v>17</v>
      </c>
      <c r="I25" s="27">
        <v>2</v>
      </c>
    </row>
    <row r="26" spans="1:9" x14ac:dyDescent="0.3">
      <c r="A26" s="27" t="s">
        <v>49</v>
      </c>
      <c r="B26" s="27" t="s">
        <v>50</v>
      </c>
      <c r="C26" s="27" t="s">
        <v>65</v>
      </c>
      <c r="D26" s="27" t="s">
        <v>66</v>
      </c>
      <c r="E26" s="27" t="s">
        <v>41</v>
      </c>
      <c r="F26" s="27" t="s">
        <v>16</v>
      </c>
      <c r="G26" s="27">
        <v>5</v>
      </c>
      <c r="H26" s="27" t="s">
        <v>17</v>
      </c>
      <c r="I26" s="27">
        <v>2</v>
      </c>
    </row>
    <row r="27" spans="1:9" x14ac:dyDescent="0.3">
      <c r="A27" s="27" t="s">
        <v>49</v>
      </c>
      <c r="B27" s="27" t="s">
        <v>50</v>
      </c>
      <c r="C27" s="27" t="s">
        <v>67</v>
      </c>
      <c r="D27" s="27" t="s">
        <v>68</v>
      </c>
      <c r="E27" s="27" t="s">
        <v>15</v>
      </c>
      <c r="F27" s="27" t="s">
        <v>44</v>
      </c>
      <c r="G27" s="27">
        <v>6</v>
      </c>
      <c r="H27" s="27" t="s">
        <v>17</v>
      </c>
      <c r="I27" s="27">
        <v>0</v>
      </c>
    </row>
    <row r="28" spans="1:9" x14ac:dyDescent="0.3">
      <c r="A28" s="27" t="s">
        <v>49</v>
      </c>
      <c r="B28" s="27" t="s">
        <v>69</v>
      </c>
      <c r="C28" s="27" t="s">
        <v>70</v>
      </c>
      <c r="D28" s="27" t="s">
        <v>71</v>
      </c>
      <c r="E28" s="27" t="s">
        <v>15</v>
      </c>
      <c r="F28" s="27" t="s">
        <v>16</v>
      </c>
      <c r="G28" s="27">
        <v>4</v>
      </c>
      <c r="H28" s="27" t="s">
        <v>17</v>
      </c>
      <c r="I28" s="27">
        <v>4</v>
      </c>
    </row>
    <row r="29" spans="1:9" x14ac:dyDescent="0.3">
      <c r="A29" s="27" t="s">
        <v>49</v>
      </c>
      <c r="B29" s="27" t="s">
        <v>69</v>
      </c>
      <c r="C29" s="27" t="s">
        <v>72</v>
      </c>
      <c r="D29" s="27" t="s">
        <v>73</v>
      </c>
      <c r="E29" s="27" t="s">
        <v>20</v>
      </c>
      <c r="F29" s="27" t="s">
        <v>21</v>
      </c>
      <c r="G29" s="27">
        <v>3</v>
      </c>
      <c r="H29" s="27" t="s">
        <v>17</v>
      </c>
      <c r="I29" s="27">
        <v>2</v>
      </c>
    </row>
    <row r="30" spans="1:9" x14ac:dyDescent="0.3">
      <c r="A30" s="27" t="s">
        <v>49</v>
      </c>
      <c r="B30" s="27" t="s">
        <v>69</v>
      </c>
      <c r="C30" s="27" t="s">
        <v>74</v>
      </c>
      <c r="D30" s="27" t="s">
        <v>75</v>
      </c>
      <c r="E30" s="27" t="s">
        <v>15</v>
      </c>
      <c r="F30" s="27" t="s">
        <v>16</v>
      </c>
      <c r="G30" s="27">
        <v>4</v>
      </c>
      <c r="H30" s="27" t="s">
        <v>17</v>
      </c>
      <c r="I30" s="27">
        <v>1</v>
      </c>
    </row>
    <row r="31" spans="1:9" x14ac:dyDescent="0.3">
      <c r="A31" s="27" t="s">
        <v>49</v>
      </c>
      <c r="B31" s="27" t="s">
        <v>69</v>
      </c>
      <c r="C31" s="27" t="s">
        <v>76</v>
      </c>
      <c r="D31" s="27" t="s">
        <v>77</v>
      </c>
      <c r="E31" s="27" t="s">
        <v>15</v>
      </c>
      <c r="F31" s="27" t="s">
        <v>44</v>
      </c>
      <c r="G31" s="27">
        <v>6</v>
      </c>
      <c r="H31" s="27" t="s">
        <v>17</v>
      </c>
      <c r="I31" s="27">
        <v>9</v>
      </c>
    </row>
    <row r="32" spans="1:9" x14ac:dyDescent="0.3">
      <c r="A32" s="27" t="s">
        <v>49</v>
      </c>
      <c r="B32" s="27" t="s">
        <v>69</v>
      </c>
      <c r="C32" s="27" t="s">
        <v>78</v>
      </c>
      <c r="D32" s="27" t="s">
        <v>79</v>
      </c>
      <c r="E32" s="27" t="s">
        <v>15</v>
      </c>
      <c r="F32" s="27" t="s">
        <v>21</v>
      </c>
      <c r="G32" s="27">
        <v>3</v>
      </c>
      <c r="H32" s="27" t="s">
        <v>17</v>
      </c>
      <c r="I32" s="27">
        <v>4</v>
      </c>
    </row>
    <row r="33" spans="1:9" x14ac:dyDescent="0.3">
      <c r="A33" s="27" t="s">
        <v>49</v>
      </c>
      <c r="B33" s="27" t="s">
        <v>69</v>
      </c>
      <c r="C33" s="27" t="s">
        <v>80</v>
      </c>
      <c r="D33" s="27" t="s">
        <v>81</v>
      </c>
      <c r="E33" s="27" t="s">
        <v>15</v>
      </c>
      <c r="F33" s="27" t="s">
        <v>21</v>
      </c>
      <c r="G33" s="27">
        <v>3</v>
      </c>
      <c r="H33" s="27" t="s">
        <v>17</v>
      </c>
      <c r="I33" s="27">
        <v>3</v>
      </c>
    </row>
    <row r="34" spans="1:9" x14ac:dyDescent="0.3">
      <c r="A34" s="28" t="s">
        <v>82</v>
      </c>
      <c r="B34" s="28" t="s">
        <v>83</v>
      </c>
      <c r="C34" s="28" t="s">
        <v>84</v>
      </c>
      <c r="D34" s="28" t="s">
        <v>85</v>
      </c>
      <c r="E34" s="28" t="s">
        <v>15</v>
      </c>
      <c r="F34" s="28" t="s">
        <v>44</v>
      </c>
      <c r="G34" s="28">
        <v>6</v>
      </c>
      <c r="H34" s="28" t="s">
        <v>86</v>
      </c>
      <c r="I34" s="28" t="s">
        <v>87</v>
      </c>
    </row>
    <row r="35" spans="1:9" x14ac:dyDescent="0.3">
      <c r="A35" s="28" t="s">
        <v>82</v>
      </c>
      <c r="B35" s="28" t="s">
        <v>83</v>
      </c>
      <c r="C35" s="28" t="s">
        <v>88</v>
      </c>
      <c r="D35" s="28" t="s">
        <v>89</v>
      </c>
      <c r="E35" s="28" t="s">
        <v>15</v>
      </c>
      <c r="F35" s="28" t="s">
        <v>16</v>
      </c>
      <c r="G35" s="28">
        <v>4</v>
      </c>
      <c r="H35" s="28" t="s">
        <v>86</v>
      </c>
      <c r="I35" s="28" t="s">
        <v>87</v>
      </c>
    </row>
    <row r="36" spans="1:9" x14ac:dyDescent="0.3">
      <c r="A36" s="28" t="s">
        <v>82</v>
      </c>
      <c r="B36" s="28" t="s">
        <v>83</v>
      </c>
      <c r="C36" s="28" t="s">
        <v>90</v>
      </c>
      <c r="D36" s="28" t="s">
        <v>91</v>
      </c>
      <c r="E36" s="28" t="s">
        <v>15</v>
      </c>
      <c r="F36" s="28" t="s">
        <v>44</v>
      </c>
      <c r="G36" s="28">
        <v>6</v>
      </c>
      <c r="H36" s="28" t="s">
        <v>86</v>
      </c>
      <c r="I36" s="28" t="s">
        <v>87</v>
      </c>
    </row>
    <row r="37" spans="1:9" x14ac:dyDescent="0.3">
      <c r="A37" s="28" t="s">
        <v>82</v>
      </c>
      <c r="B37" s="28" t="s">
        <v>83</v>
      </c>
      <c r="C37" s="28" t="s">
        <v>92</v>
      </c>
      <c r="D37" s="28" t="s">
        <v>93</v>
      </c>
      <c r="E37" s="28" t="s">
        <v>15</v>
      </c>
      <c r="F37" s="28" t="s">
        <v>16</v>
      </c>
      <c r="G37" s="28">
        <v>4</v>
      </c>
      <c r="H37" s="28" t="s">
        <v>86</v>
      </c>
      <c r="I37" s="28" t="s">
        <v>87</v>
      </c>
    </row>
    <row r="38" spans="1:9" x14ac:dyDescent="0.3">
      <c r="A38" s="28" t="s">
        <v>82</v>
      </c>
      <c r="B38" s="28" t="s">
        <v>83</v>
      </c>
      <c r="C38" s="28" t="s">
        <v>94</v>
      </c>
      <c r="D38" s="28" t="s">
        <v>95</v>
      </c>
      <c r="E38" s="28" t="s">
        <v>20</v>
      </c>
      <c r="F38" s="28" t="s">
        <v>16</v>
      </c>
      <c r="G38" s="28">
        <v>4</v>
      </c>
      <c r="H38" s="28" t="s">
        <v>86</v>
      </c>
      <c r="I38" s="28" t="s">
        <v>87</v>
      </c>
    </row>
    <row r="39" spans="1:9" x14ac:dyDescent="0.3">
      <c r="A39" s="28" t="s">
        <v>82</v>
      </c>
      <c r="B39" s="28" t="s">
        <v>83</v>
      </c>
      <c r="C39" s="28" t="s">
        <v>96</v>
      </c>
      <c r="D39" s="28" t="s">
        <v>97</v>
      </c>
      <c r="E39" s="28" t="s">
        <v>20</v>
      </c>
      <c r="F39" s="28" t="s">
        <v>44</v>
      </c>
      <c r="G39" s="28">
        <v>6</v>
      </c>
      <c r="H39" s="28" t="s">
        <v>86</v>
      </c>
      <c r="I39" s="28" t="s">
        <v>87</v>
      </c>
    </row>
    <row r="40" spans="1:9" x14ac:dyDescent="0.3">
      <c r="A40" s="28" t="s">
        <v>82</v>
      </c>
      <c r="B40" s="28" t="s">
        <v>83</v>
      </c>
      <c r="C40" s="28" t="s">
        <v>98</v>
      </c>
      <c r="D40" s="28" t="s">
        <v>99</v>
      </c>
      <c r="E40" s="28" t="s">
        <v>15</v>
      </c>
      <c r="F40" s="28" t="s">
        <v>16</v>
      </c>
      <c r="G40" s="28">
        <v>4</v>
      </c>
      <c r="H40" s="28" t="s">
        <v>86</v>
      </c>
      <c r="I40" s="28" t="s">
        <v>87</v>
      </c>
    </row>
    <row r="41" spans="1:9" x14ac:dyDescent="0.3">
      <c r="A41" s="28" t="s">
        <v>82</v>
      </c>
      <c r="B41" s="28" t="s">
        <v>83</v>
      </c>
      <c r="C41" s="28" t="s">
        <v>100</v>
      </c>
      <c r="D41" s="28" t="s">
        <v>101</v>
      </c>
      <c r="E41" s="28" t="s">
        <v>41</v>
      </c>
      <c r="F41" s="28" t="s">
        <v>16</v>
      </c>
      <c r="G41" s="28">
        <v>5</v>
      </c>
      <c r="H41" s="28" t="s">
        <v>86</v>
      </c>
      <c r="I41" s="28" t="s">
        <v>87</v>
      </c>
    </row>
    <row r="42" spans="1:9" x14ac:dyDescent="0.3">
      <c r="A42" s="28" t="s">
        <v>82</v>
      </c>
      <c r="B42" s="28" t="s">
        <v>83</v>
      </c>
      <c r="C42" s="28" t="s">
        <v>102</v>
      </c>
      <c r="D42" s="28" t="s">
        <v>103</v>
      </c>
      <c r="E42" s="28" t="s">
        <v>20</v>
      </c>
      <c r="F42" s="28" t="s">
        <v>21</v>
      </c>
      <c r="G42" s="28">
        <v>3</v>
      </c>
      <c r="H42" s="28" t="s">
        <v>86</v>
      </c>
      <c r="I42" s="28" t="s">
        <v>87</v>
      </c>
    </row>
    <row r="43" spans="1:9" x14ac:dyDescent="0.3">
      <c r="A43" s="28" t="s">
        <v>82</v>
      </c>
      <c r="B43" s="28" t="s">
        <v>104</v>
      </c>
      <c r="C43" s="28" t="s">
        <v>105</v>
      </c>
      <c r="D43" s="28" t="s">
        <v>106</v>
      </c>
      <c r="E43" s="28" t="s">
        <v>15</v>
      </c>
      <c r="F43" s="28" t="s">
        <v>16</v>
      </c>
      <c r="G43" s="28">
        <v>4</v>
      </c>
      <c r="H43" s="28" t="s">
        <v>86</v>
      </c>
      <c r="I43" s="28" t="s">
        <v>87</v>
      </c>
    </row>
    <row r="44" spans="1:9" x14ac:dyDescent="0.3">
      <c r="A44" s="28" t="s">
        <v>82</v>
      </c>
      <c r="B44" s="28" t="s">
        <v>104</v>
      </c>
      <c r="C44" s="28" t="s">
        <v>107</v>
      </c>
      <c r="D44" s="28" t="s">
        <v>108</v>
      </c>
      <c r="E44" s="28" t="s">
        <v>20</v>
      </c>
      <c r="F44" s="28" t="s">
        <v>21</v>
      </c>
      <c r="G44" s="28">
        <v>3</v>
      </c>
      <c r="H44" s="28" t="s">
        <v>86</v>
      </c>
      <c r="I44" s="28" t="s">
        <v>87</v>
      </c>
    </row>
    <row r="45" spans="1:9" x14ac:dyDescent="0.3">
      <c r="A45" s="28" t="s">
        <v>82</v>
      </c>
      <c r="B45" s="28" t="s">
        <v>104</v>
      </c>
      <c r="C45" s="28" t="s">
        <v>109</v>
      </c>
      <c r="D45" s="28" t="s">
        <v>110</v>
      </c>
      <c r="E45" s="28" t="s">
        <v>20</v>
      </c>
      <c r="F45" s="28" t="s">
        <v>16</v>
      </c>
      <c r="G45" s="28">
        <v>4</v>
      </c>
      <c r="H45" s="28" t="s">
        <v>86</v>
      </c>
      <c r="I45" s="28" t="s">
        <v>87</v>
      </c>
    </row>
    <row r="46" spans="1:9" x14ac:dyDescent="0.3">
      <c r="A46" s="28" t="s">
        <v>82</v>
      </c>
      <c r="B46" s="28" t="s">
        <v>104</v>
      </c>
      <c r="C46" s="28" t="s">
        <v>111</v>
      </c>
      <c r="D46" s="28" t="s">
        <v>112</v>
      </c>
      <c r="E46" s="28" t="s">
        <v>15</v>
      </c>
      <c r="F46" s="28" t="s">
        <v>16</v>
      </c>
      <c r="G46" s="28">
        <v>4</v>
      </c>
      <c r="H46" s="28" t="s">
        <v>86</v>
      </c>
      <c r="I46" s="28" t="s">
        <v>87</v>
      </c>
    </row>
    <row r="47" spans="1:9" x14ac:dyDescent="0.3">
      <c r="A47" s="28" t="s">
        <v>82</v>
      </c>
      <c r="B47" s="28" t="s">
        <v>104</v>
      </c>
      <c r="C47" s="28" t="s">
        <v>113</v>
      </c>
      <c r="D47" s="28" t="s">
        <v>114</v>
      </c>
      <c r="E47" s="28" t="s">
        <v>15</v>
      </c>
      <c r="F47" s="28" t="s">
        <v>21</v>
      </c>
      <c r="G47" s="28">
        <v>3</v>
      </c>
      <c r="H47" s="28" t="s">
        <v>86</v>
      </c>
      <c r="I47" s="28" t="s">
        <v>87</v>
      </c>
    </row>
    <row r="48" spans="1:9" x14ac:dyDescent="0.3">
      <c r="A48" s="28" t="s">
        <v>82</v>
      </c>
      <c r="B48" s="28" t="s">
        <v>104</v>
      </c>
      <c r="C48" s="28" t="s">
        <v>115</v>
      </c>
      <c r="D48" s="28" t="s">
        <v>116</v>
      </c>
      <c r="E48" s="28" t="s">
        <v>15</v>
      </c>
      <c r="F48" s="28" t="s">
        <v>21</v>
      </c>
      <c r="G48" s="28">
        <v>3</v>
      </c>
      <c r="H48" s="28" t="s">
        <v>86</v>
      </c>
      <c r="I48" s="28" t="s">
        <v>87</v>
      </c>
    </row>
    <row r="49" spans="1:9" x14ac:dyDescent="0.3">
      <c r="A49" s="28" t="s">
        <v>82</v>
      </c>
      <c r="B49" s="28" t="s">
        <v>104</v>
      </c>
      <c r="C49" s="28" t="s">
        <v>117</v>
      </c>
      <c r="D49" s="28" t="s">
        <v>118</v>
      </c>
      <c r="E49" s="28" t="s">
        <v>41</v>
      </c>
      <c r="F49" s="28" t="s">
        <v>16</v>
      </c>
      <c r="G49" s="28">
        <v>5</v>
      </c>
      <c r="H49" s="28" t="s">
        <v>86</v>
      </c>
      <c r="I49" s="28" t="s">
        <v>87</v>
      </c>
    </row>
    <row r="50" spans="1:9" x14ac:dyDescent="0.3">
      <c r="A50" s="28" t="s">
        <v>82</v>
      </c>
      <c r="B50" s="28" t="s">
        <v>119</v>
      </c>
      <c r="C50" s="28" t="s">
        <v>120</v>
      </c>
      <c r="D50" s="28" t="s">
        <v>121</v>
      </c>
      <c r="E50" s="28" t="s">
        <v>15</v>
      </c>
      <c r="F50" s="28" t="s">
        <v>16</v>
      </c>
      <c r="G50" s="28">
        <v>4</v>
      </c>
      <c r="H50" s="28" t="s">
        <v>86</v>
      </c>
      <c r="I50" s="28" t="s">
        <v>87</v>
      </c>
    </row>
    <row r="51" spans="1:9" x14ac:dyDescent="0.3">
      <c r="A51" s="28" t="s">
        <v>82</v>
      </c>
      <c r="B51" s="28" t="s">
        <v>119</v>
      </c>
      <c r="C51" s="28" t="s">
        <v>122</v>
      </c>
      <c r="D51" s="28" t="s">
        <v>123</v>
      </c>
      <c r="E51" s="28" t="s">
        <v>20</v>
      </c>
      <c r="F51" s="28" t="s">
        <v>21</v>
      </c>
      <c r="G51" s="28">
        <v>3</v>
      </c>
      <c r="H51" s="28" t="s">
        <v>86</v>
      </c>
      <c r="I51" s="28" t="s">
        <v>87</v>
      </c>
    </row>
    <row r="52" spans="1:9" x14ac:dyDescent="0.3">
      <c r="A52" s="28" t="s">
        <v>82</v>
      </c>
      <c r="B52" s="28" t="s">
        <v>119</v>
      </c>
      <c r="C52" s="28" t="s">
        <v>124</v>
      </c>
      <c r="D52" s="28" t="s">
        <v>125</v>
      </c>
      <c r="E52" s="28" t="s">
        <v>15</v>
      </c>
      <c r="F52" s="28" t="s">
        <v>16</v>
      </c>
      <c r="G52" s="28">
        <v>4</v>
      </c>
      <c r="H52" s="28" t="s">
        <v>86</v>
      </c>
      <c r="I52" s="28" t="s">
        <v>87</v>
      </c>
    </row>
    <row r="53" spans="1:9" x14ac:dyDescent="0.3">
      <c r="A53" s="28" t="s">
        <v>82</v>
      </c>
      <c r="B53" s="28" t="s">
        <v>119</v>
      </c>
      <c r="C53" s="28" t="s">
        <v>126</v>
      </c>
      <c r="D53" s="28" t="s">
        <v>127</v>
      </c>
      <c r="E53" s="28" t="s">
        <v>15</v>
      </c>
      <c r="F53" s="28" t="s">
        <v>21</v>
      </c>
      <c r="G53" s="28">
        <v>3</v>
      </c>
      <c r="H53" s="28" t="s">
        <v>86</v>
      </c>
      <c r="I53" s="28" t="s">
        <v>87</v>
      </c>
    </row>
    <row r="54" spans="1:9" x14ac:dyDescent="0.3">
      <c r="A54" s="28" t="s">
        <v>82</v>
      </c>
      <c r="B54" s="28" t="s">
        <v>119</v>
      </c>
      <c r="C54" s="28" t="s">
        <v>128</v>
      </c>
      <c r="D54" s="28" t="s">
        <v>129</v>
      </c>
      <c r="E54" s="28" t="s">
        <v>15</v>
      </c>
      <c r="F54" s="28" t="s">
        <v>21</v>
      </c>
      <c r="G54" s="28">
        <v>3</v>
      </c>
      <c r="H54" s="28" t="s">
        <v>86</v>
      </c>
      <c r="I54" s="28" t="s">
        <v>87</v>
      </c>
    </row>
    <row r="55" spans="1:9" x14ac:dyDescent="0.3">
      <c r="A55" s="28" t="s">
        <v>82</v>
      </c>
      <c r="B55" s="28" t="s">
        <v>119</v>
      </c>
      <c r="C55" s="28" t="s">
        <v>130</v>
      </c>
      <c r="D55" s="28" t="s">
        <v>131</v>
      </c>
      <c r="E55" s="28" t="s">
        <v>15</v>
      </c>
      <c r="F55" s="28" t="s">
        <v>16</v>
      </c>
      <c r="G55" s="28">
        <v>4</v>
      </c>
      <c r="H55" s="28" t="s">
        <v>86</v>
      </c>
      <c r="I55" s="28" t="s">
        <v>87</v>
      </c>
    </row>
    <row r="56" spans="1:9" x14ac:dyDescent="0.3">
      <c r="A56" s="28" t="s">
        <v>82</v>
      </c>
      <c r="B56" s="28" t="s">
        <v>119</v>
      </c>
      <c r="C56" s="28" t="s">
        <v>132</v>
      </c>
      <c r="D56" s="28" t="s">
        <v>133</v>
      </c>
      <c r="E56" s="28" t="s">
        <v>20</v>
      </c>
      <c r="F56" s="28" t="s">
        <v>16</v>
      </c>
      <c r="G56" s="28">
        <v>4</v>
      </c>
      <c r="H56" s="28" t="s">
        <v>86</v>
      </c>
      <c r="I56" s="28" t="s">
        <v>87</v>
      </c>
    </row>
    <row r="57" spans="1:9" x14ac:dyDescent="0.3">
      <c r="A57" s="28" t="s">
        <v>82</v>
      </c>
      <c r="B57" s="28" t="s">
        <v>119</v>
      </c>
      <c r="C57" s="28" t="s">
        <v>134</v>
      </c>
      <c r="D57" s="28" t="s">
        <v>135</v>
      </c>
      <c r="E57" s="28" t="s">
        <v>15</v>
      </c>
      <c r="F57" s="28" t="s">
        <v>16</v>
      </c>
      <c r="G57" s="28">
        <v>4</v>
      </c>
      <c r="H57" s="28" t="s">
        <v>86</v>
      </c>
      <c r="I57" s="28" t="s">
        <v>87</v>
      </c>
    </row>
    <row r="58" spans="1:9" x14ac:dyDescent="0.3">
      <c r="A58" s="27" t="s">
        <v>136</v>
      </c>
      <c r="B58" s="27" t="s">
        <v>137</v>
      </c>
      <c r="C58" s="27" t="s">
        <v>138</v>
      </c>
      <c r="D58" s="27" t="s">
        <v>139</v>
      </c>
      <c r="E58" s="27" t="s">
        <v>15</v>
      </c>
      <c r="F58" s="27" t="s">
        <v>44</v>
      </c>
      <c r="G58" s="27">
        <v>6</v>
      </c>
      <c r="H58" s="27" t="s">
        <v>17</v>
      </c>
      <c r="I58" s="27">
        <v>8</v>
      </c>
    </row>
    <row r="59" spans="1:9" x14ac:dyDescent="0.3">
      <c r="A59" s="27" t="s">
        <v>136</v>
      </c>
      <c r="B59" s="27" t="s">
        <v>137</v>
      </c>
      <c r="C59" s="27" t="s">
        <v>140</v>
      </c>
      <c r="D59" s="27" t="s">
        <v>141</v>
      </c>
      <c r="E59" s="27" t="s">
        <v>15</v>
      </c>
      <c r="F59" s="27" t="s">
        <v>16</v>
      </c>
      <c r="G59" s="27">
        <v>4</v>
      </c>
      <c r="H59" s="27" t="s">
        <v>17</v>
      </c>
      <c r="I59" s="27">
        <v>5</v>
      </c>
    </row>
    <row r="60" spans="1:9" x14ac:dyDescent="0.3">
      <c r="A60" s="27" t="s">
        <v>136</v>
      </c>
      <c r="B60" s="27" t="s">
        <v>137</v>
      </c>
      <c r="C60" s="27" t="s">
        <v>142</v>
      </c>
      <c r="D60" s="27" t="s">
        <v>143</v>
      </c>
      <c r="E60" s="27" t="s">
        <v>15</v>
      </c>
      <c r="F60" s="27" t="s">
        <v>16</v>
      </c>
      <c r="G60" s="27">
        <v>4</v>
      </c>
      <c r="H60" s="27" t="s">
        <v>17</v>
      </c>
      <c r="I60" s="27">
        <v>3</v>
      </c>
    </row>
    <row r="61" spans="1:9" x14ac:dyDescent="0.3">
      <c r="A61" s="27" t="s">
        <v>136</v>
      </c>
      <c r="B61" s="27" t="s">
        <v>137</v>
      </c>
      <c r="C61" s="27" t="s">
        <v>144</v>
      </c>
      <c r="D61" s="27" t="s">
        <v>145</v>
      </c>
      <c r="E61" s="27" t="s">
        <v>20</v>
      </c>
      <c r="F61" s="27" t="s">
        <v>16</v>
      </c>
      <c r="G61" s="27">
        <v>4</v>
      </c>
      <c r="H61" s="27" t="s">
        <v>17</v>
      </c>
      <c r="I61" s="27">
        <v>1</v>
      </c>
    </row>
    <row r="62" spans="1:9" x14ac:dyDescent="0.3">
      <c r="A62" s="27" t="s">
        <v>136</v>
      </c>
      <c r="B62" s="27" t="s">
        <v>137</v>
      </c>
      <c r="C62" s="27" t="s">
        <v>146</v>
      </c>
      <c r="D62" s="27" t="s">
        <v>147</v>
      </c>
      <c r="E62" s="27" t="s">
        <v>15</v>
      </c>
      <c r="F62" s="27" t="s">
        <v>16</v>
      </c>
      <c r="G62" s="27">
        <v>4</v>
      </c>
      <c r="H62" s="27" t="s">
        <v>17</v>
      </c>
      <c r="I62" s="27">
        <v>2</v>
      </c>
    </row>
    <row r="63" spans="1:9" x14ac:dyDescent="0.3">
      <c r="A63" s="27" t="s">
        <v>136</v>
      </c>
      <c r="B63" s="27" t="s">
        <v>137</v>
      </c>
      <c r="C63" s="27" t="s">
        <v>148</v>
      </c>
      <c r="D63" s="27" t="s">
        <v>149</v>
      </c>
      <c r="E63" s="27" t="s">
        <v>15</v>
      </c>
      <c r="F63" s="27" t="s">
        <v>16</v>
      </c>
      <c r="G63" s="27">
        <v>4</v>
      </c>
      <c r="H63" s="27" t="s">
        <v>17</v>
      </c>
      <c r="I63" s="27">
        <v>3</v>
      </c>
    </row>
    <row r="64" spans="1:9" x14ac:dyDescent="0.3">
      <c r="A64" s="27" t="s">
        <v>136</v>
      </c>
      <c r="B64" s="27" t="s">
        <v>137</v>
      </c>
      <c r="C64" s="27" t="s">
        <v>150</v>
      </c>
      <c r="D64" s="27" t="s">
        <v>151</v>
      </c>
      <c r="E64" s="27" t="s">
        <v>15</v>
      </c>
      <c r="F64" s="27" t="s">
        <v>21</v>
      </c>
      <c r="G64" s="27">
        <v>3</v>
      </c>
      <c r="H64" s="27" t="s">
        <v>17</v>
      </c>
      <c r="I64" s="27">
        <v>1</v>
      </c>
    </row>
    <row r="65" spans="1:9" x14ac:dyDescent="0.3">
      <c r="A65" s="27" t="s">
        <v>136</v>
      </c>
      <c r="B65" s="27" t="s">
        <v>137</v>
      </c>
      <c r="C65" s="27" t="s">
        <v>152</v>
      </c>
      <c r="D65" s="27" t="s">
        <v>153</v>
      </c>
      <c r="E65" s="27" t="s">
        <v>20</v>
      </c>
      <c r="F65" s="27" t="s">
        <v>16</v>
      </c>
      <c r="G65" s="27">
        <v>4</v>
      </c>
      <c r="H65" s="27" t="s">
        <v>17</v>
      </c>
      <c r="I65" s="27">
        <v>1</v>
      </c>
    </row>
    <row r="66" spans="1:9" x14ac:dyDescent="0.3">
      <c r="A66" s="27" t="s">
        <v>136</v>
      </c>
      <c r="B66" s="27" t="s">
        <v>154</v>
      </c>
      <c r="C66" s="27" t="s">
        <v>155</v>
      </c>
      <c r="D66" s="27" t="s">
        <v>156</v>
      </c>
      <c r="E66" s="27" t="s">
        <v>15</v>
      </c>
      <c r="F66" s="27" t="s">
        <v>16</v>
      </c>
      <c r="G66" s="27">
        <v>4</v>
      </c>
      <c r="H66" s="27" t="s">
        <v>17</v>
      </c>
      <c r="I66" s="27">
        <v>4</v>
      </c>
    </row>
    <row r="67" spans="1:9" x14ac:dyDescent="0.3">
      <c r="A67" s="27" t="s">
        <v>136</v>
      </c>
      <c r="B67" s="27" t="s">
        <v>154</v>
      </c>
      <c r="C67" s="27" t="s">
        <v>157</v>
      </c>
      <c r="D67" s="27" t="s">
        <v>158</v>
      </c>
      <c r="E67" s="27" t="s">
        <v>15</v>
      </c>
      <c r="F67" s="27" t="s">
        <v>21</v>
      </c>
      <c r="G67" s="27">
        <v>3</v>
      </c>
      <c r="H67" s="27" t="s">
        <v>17</v>
      </c>
      <c r="I67" s="27">
        <v>7</v>
      </c>
    </row>
    <row r="68" spans="1:9" x14ac:dyDescent="0.3">
      <c r="A68" s="27" t="s">
        <v>136</v>
      </c>
      <c r="B68" s="27" t="s">
        <v>154</v>
      </c>
      <c r="C68" s="27" t="s">
        <v>159</v>
      </c>
      <c r="D68" s="27" t="s">
        <v>160</v>
      </c>
      <c r="E68" s="27" t="s">
        <v>41</v>
      </c>
      <c r="F68" s="27" t="s">
        <v>16</v>
      </c>
      <c r="G68" s="27">
        <v>5</v>
      </c>
      <c r="H68" s="27" t="s">
        <v>17</v>
      </c>
      <c r="I68" s="27">
        <v>1</v>
      </c>
    </row>
    <row r="69" spans="1:9" x14ac:dyDescent="0.3">
      <c r="A69" s="27" t="s">
        <v>136</v>
      </c>
      <c r="B69" s="27" t="s">
        <v>154</v>
      </c>
      <c r="C69" s="27" t="s">
        <v>161</v>
      </c>
      <c r="D69" s="27" t="s">
        <v>162</v>
      </c>
      <c r="E69" s="27" t="s">
        <v>20</v>
      </c>
      <c r="F69" s="27" t="s">
        <v>21</v>
      </c>
      <c r="G69" s="27">
        <v>3</v>
      </c>
      <c r="H69" s="27" t="s">
        <v>17</v>
      </c>
      <c r="I69" s="27">
        <v>4</v>
      </c>
    </row>
    <row r="70" spans="1:9" x14ac:dyDescent="0.3">
      <c r="A70" s="27" t="s">
        <v>136</v>
      </c>
      <c r="B70" s="27" t="s">
        <v>154</v>
      </c>
      <c r="C70" s="27" t="s">
        <v>163</v>
      </c>
      <c r="D70" s="27" t="s">
        <v>164</v>
      </c>
      <c r="E70" s="27" t="s">
        <v>15</v>
      </c>
      <c r="F70" s="27" t="s">
        <v>16</v>
      </c>
      <c r="G70" s="27">
        <v>4</v>
      </c>
      <c r="H70" s="27" t="s">
        <v>17</v>
      </c>
      <c r="I70" s="27">
        <v>1</v>
      </c>
    </row>
    <row r="71" spans="1:9" x14ac:dyDescent="0.3">
      <c r="A71" s="27" t="s">
        <v>136</v>
      </c>
      <c r="B71" s="27" t="s">
        <v>154</v>
      </c>
      <c r="C71" s="27" t="s">
        <v>165</v>
      </c>
      <c r="D71" s="27" t="s">
        <v>166</v>
      </c>
      <c r="E71" s="27" t="s">
        <v>41</v>
      </c>
      <c r="F71" s="27" t="s">
        <v>16</v>
      </c>
      <c r="G71" s="27">
        <v>5</v>
      </c>
      <c r="H71" s="27" t="s">
        <v>17</v>
      </c>
      <c r="I71" s="27">
        <v>1</v>
      </c>
    </row>
    <row r="72" spans="1:9" x14ac:dyDescent="0.3">
      <c r="A72" s="27" t="s">
        <v>136</v>
      </c>
      <c r="B72" s="27" t="s">
        <v>154</v>
      </c>
      <c r="C72" s="27" t="s">
        <v>167</v>
      </c>
      <c r="D72" s="27" t="s">
        <v>168</v>
      </c>
      <c r="E72" s="27" t="s">
        <v>41</v>
      </c>
      <c r="F72" s="27" t="s">
        <v>16</v>
      </c>
      <c r="G72" s="27">
        <v>5</v>
      </c>
      <c r="H72" s="27" t="s">
        <v>17</v>
      </c>
      <c r="I72" s="27">
        <v>1</v>
      </c>
    </row>
    <row r="73" spans="1:9" x14ac:dyDescent="0.3">
      <c r="A73" s="27" t="s">
        <v>136</v>
      </c>
      <c r="B73" s="27" t="s">
        <v>169</v>
      </c>
      <c r="C73" s="27" t="s">
        <v>170</v>
      </c>
      <c r="D73" s="27" t="s">
        <v>171</v>
      </c>
      <c r="E73" s="27" t="s">
        <v>15</v>
      </c>
      <c r="F73" s="27" t="s">
        <v>16</v>
      </c>
      <c r="G73" s="27">
        <v>4</v>
      </c>
      <c r="H73" s="27" t="s">
        <v>17</v>
      </c>
      <c r="I73" s="27">
        <v>5</v>
      </c>
    </row>
    <row r="74" spans="1:9" x14ac:dyDescent="0.3">
      <c r="A74" s="27" t="s">
        <v>136</v>
      </c>
      <c r="B74" s="27" t="s">
        <v>169</v>
      </c>
      <c r="C74" s="27" t="s">
        <v>172</v>
      </c>
      <c r="D74" s="27" t="s">
        <v>173</v>
      </c>
      <c r="E74" s="27" t="s">
        <v>20</v>
      </c>
      <c r="F74" s="27" t="s">
        <v>16</v>
      </c>
      <c r="G74" s="27">
        <v>4</v>
      </c>
      <c r="H74" s="27" t="s">
        <v>17</v>
      </c>
      <c r="I74" s="27">
        <v>1</v>
      </c>
    </row>
    <row r="75" spans="1:9" x14ac:dyDescent="0.3">
      <c r="A75" s="27" t="s">
        <v>136</v>
      </c>
      <c r="B75" s="27" t="s">
        <v>169</v>
      </c>
      <c r="C75" s="27" t="s">
        <v>174</v>
      </c>
      <c r="D75" s="27" t="s">
        <v>175</v>
      </c>
      <c r="E75" s="27" t="s">
        <v>15</v>
      </c>
      <c r="F75" s="27" t="s">
        <v>16</v>
      </c>
      <c r="G75" s="27">
        <v>4</v>
      </c>
      <c r="H75" s="27" t="s">
        <v>17</v>
      </c>
      <c r="I75" s="27">
        <v>3</v>
      </c>
    </row>
    <row r="76" spans="1:9" x14ac:dyDescent="0.3">
      <c r="A76" s="27" t="s">
        <v>136</v>
      </c>
      <c r="B76" s="27" t="s">
        <v>169</v>
      </c>
      <c r="C76" s="27" t="s">
        <v>176</v>
      </c>
      <c r="D76" s="27" t="s">
        <v>177</v>
      </c>
      <c r="E76" s="27" t="s">
        <v>15</v>
      </c>
      <c r="F76" s="27" t="s">
        <v>16</v>
      </c>
      <c r="G76" s="27">
        <v>4</v>
      </c>
      <c r="H76" s="27" t="s">
        <v>17</v>
      </c>
      <c r="I76" s="27">
        <v>1</v>
      </c>
    </row>
    <row r="77" spans="1:9" x14ac:dyDescent="0.3">
      <c r="A77" s="27" t="s">
        <v>136</v>
      </c>
      <c r="B77" s="27" t="s">
        <v>169</v>
      </c>
      <c r="C77" s="27" t="s">
        <v>178</v>
      </c>
      <c r="D77" s="27" t="s">
        <v>179</v>
      </c>
      <c r="E77" s="27" t="s">
        <v>41</v>
      </c>
      <c r="F77" s="27" t="s">
        <v>16</v>
      </c>
      <c r="G77" s="27">
        <v>5</v>
      </c>
      <c r="H77" s="27" t="s">
        <v>17</v>
      </c>
      <c r="I77" s="27">
        <v>2</v>
      </c>
    </row>
    <row r="78" spans="1:9" x14ac:dyDescent="0.3">
      <c r="A78" s="27" t="s">
        <v>136</v>
      </c>
      <c r="B78" s="27" t="s">
        <v>169</v>
      </c>
      <c r="C78" s="27" t="s">
        <v>180</v>
      </c>
      <c r="D78" s="27" t="s">
        <v>181</v>
      </c>
      <c r="E78" s="27" t="s">
        <v>41</v>
      </c>
      <c r="F78" s="27" t="s">
        <v>16</v>
      </c>
      <c r="G78" s="27">
        <v>5</v>
      </c>
      <c r="H78" s="27" t="s">
        <v>17</v>
      </c>
      <c r="I78" s="27">
        <v>1</v>
      </c>
    </row>
    <row r="79" spans="1:9" x14ac:dyDescent="0.3">
      <c r="A79" s="27" t="s">
        <v>136</v>
      </c>
      <c r="B79" s="27" t="s">
        <v>182</v>
      </c>
      <c r="C79" s="27" t="s">
        <v>183</v>
      </c>
      <c r="D79" s="27" t="s">
        <v>184</v>
      </c>
      <c r="E79" s="27" t="s">
        <v>41</v>
      </c>
      <c r="F79" s="27" t="s">
        <v>16</v>
      </c>
      <c r="G79" s="27">
        <v>5</v>
      </c>
      <c r="H79" s="27" t="s">
        <v>17</v>
      </c>
      <c r="I79" s="27">
        <v>1</v>
      </c>
    </row>
    <row r="80" spans="1:9" x14ac:dyDescent="0.3">
      <c r="A80" s="27" t="s">
        <v>136</v>
      </c>
      <c r="B80" s="27" t="s">
        <v>182</v>
      </c>
      <c r="C80" s="27" t="s">
        <v>185</v>
      </c>
      <c r="D80" s="27" t="s">
        <v>186</v>
      </c>
      <c r="E80" s="27" t="s">
        <v>41</v>
      </c>
      <c r="F80" s="27" t="s">
        <v>16</v>
      </c>
      <c r="G80" s="27">
        <v>5</v>
      </c>
      <c r="H80" s="27" t="s">
        <v>17</v>
      </c>
      <c r="I80" s="27">
        <v>3</v>
      </c>
    </row>
    <row r="81" spans="1:9" x14ac:dyDescent="0.3">
      <c r="A81" s="27" t="s">
        <v>136</v>
      </c>
      <c r="B81" s="27" t="s">
        <v>182</v>
      </c>
      <c r="C81" s="27" t="s">
        <v>187</v>
      </c>
      <c r="D81" s="27" t="s">
        <v>188</v>
      </c>
      <c r="E81" s="27" t="s">
        <v>41</v>
      </c>
      <c r="F81" s="27" t="s">
        <v>16</v>
      </c>
      <c r="G81" s="27">
        <v>5</v>
      </c>
      <c r="H81" s="27" t="s">
        <v>17</v>
      </c>
      <c r="I81" s="27">
        <v>1</v>
      </c>
    </row>
    <row r="82" spans="1:9" x14ac:dyDescent="0.3">
      <c r="A82" s="27" t="s">
        <v>136</v>
      </c>
      <c r="B82" s="27" t="s">
        <v>182</v>
      </c>
      <c r="C82" s="27" t="s">
        <v>189</v>
      </c>
      <c r="D82" s="27" t="s">
        <v>179</v>
      </c>
      <c r="E82" s="27" t="s">
        <v>41</v>
      </c>
      <c r="F82" s="27" t="s">
        <v>16</v>
      </c>
      <c r="G82" s="27">
        <v>5</v>
      </c>
      <c r="H82" s="27" t="s">
        <v>17</v>
      </c>
      <c r="I82" s="27">
        <v>1</v>
      </c>
    </row>
    <row r="83" spans="1:9" x14ac:dyDescent="0.3">
      <c r="A83" s="27" t="s">
        <v>136</v>
      </c>
      <c r="B83" s="27" t="s">
        <v>182</v>
      </c>
      <c r="C83" s="27" t="s">
        <v>190</v>
      </c>
      <c r="D83" s="27" t="s">
        <v>191</v>
      </c>
      <c r="E83" s="27" t="s">
        <v>20</v>
      </c>
      <c r="F83" s="27" t="s">
        <v>16</v>
      </c>
      <c r="G83" s="27">
        <v>4</v>
      </c>
      <c r="H83" s="27" t="s">
        <v>17</v>
      </c>
      <c r="I83" s="27">
        <v>1</v>
      </c>
    </row>
    <row r="84" spans="1:9" x14ac:dyDescent="0.3">
      <c r="A84" s="27" t="s">
        <v>136</v>
      </c>
      <c r="B84" s="27" t="s">
        <v>182</v>
      </c>
      <c r="C84" s="27" t="s">
        <v>192</v>
      </c>
      <c r="D84" s="27" t="s">
        <v>193</v>
      </c>
      <c r="E84" s="27" t="s">
        <v>41</v>
      </c>
      <c r="F84" s="27" t="s">
        <v>44</v>
      </c>
      <c r="G84" s="27">
        <v>7</v>
      </c>
      <c r="H84" s="27" t="s">
        <v>17</v>
      </c>
      <c r="I84" s="27">
        <v>2</v>
      </c>
    </row>
    <row r="86" spans="1:9" x14ac:dyDescent="0.3">
      <c r="A86" s="29" t="s">
        <v>194</v>
      </c>
      <c r="B86" s="29">
        <f>SUM(G5:G84)</f>
        <v>330</v>
      </c>
    </row>
    <row r="87" spans="1:9" x14ac:dyDescent="0.3">
      <c r="A87" s="29" t="s">
        <v>195</v>
      </c>
      <c r="B87" s="29">
        <f>SUMIF(H5:H84,"Entregado (70 %)",G5:G84)</f>
        <v>233</v>
      </c>
    </row>
    <row r="88" spans="1:9" x14ac:dyDescent="0.3">
      <c r="A88" s="29" t="s">
        <v>196</v>
      </c>
      <c r="B88" s="29">
        <f>SUMIF(H5:H84,"Pendiente (30 %)",G5:G84)</f>
        <v>97</v>
      </c>
    </row>
    <row r="89" spans="1:9" x14ac:dyDescent="0.3">
      <c r="A89" s="29" t="s">
        <v>197</v>
      </c>
      <c r="B89" s="30">
        <f>B87/B86</f>
        <v>0.70606060606060606</v>
      </c>
    </row>
    <row r="90" spans="1:9" x14ac:dyDescent="0.3">
      <c r="A90" s="29" t="s">
        <v>198</v>
      </c>
      <c r="B90" s="29" t="str">
        <f>COUNTIF(H5:H84,"Entregado (70 %)")&amp;" de "&amp;COUNTA(C5:C84)</f>
        <v>56 de 80</v>
      </c>
    </row>
    <row r="91" spans="1:9" x14ac:dyDescent="0.3">
      <c r="A91" s="29" t="s">
        <v>199</v>
      </c>
      <c r="B91" s="29" t="s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tabSelected="1" zoomScaleNormal="100" workbookViewId="0"/>
  </sheetViews>
  <sheetFormatPr baseColWidth="10" defaultColWidth="8.6640625" defaultRowHeight="15" customHeight="1" x14ac:dyDescent="0.3"/>
  <cols>
    <col min="1" max="1" width="15" customWidth="1"/>
    <col min="2" max="2" width="16" customWidth="1"/>
    <col min="3" max="3" width="12" customWidth="1"/>
    <col min="5" max="5" width="25" customWidth="1"/>
    <col min="6" max="6" width="18" customWidth="1"/>
    <col min="8" max="8" width="70" customWidth="1"/>
  </cols>
  <sheetData>
    <row r="1" spans="1:8" ht="17.25" customHeight="1" x14ac:dyDescent="0.3">
      <c r="A1" s="1" t="s">
        <v>201</v>
      </c>
    </row>
    <row r="3" spans="1:8" ht="15" customHeight="1" x14ac:dyDescent="0.3">
      <c r="A3" s="2" t="s">
        <v>6</v>
      </c>
      <c r="B3" s="2" t="s">
        <v>7</v>
      </c>
      <c r="C3" s="2" t="s">
        <v>202</v>
      </c>
      <c r="E3" s="2" t="s">
        <v>203</v>
      </c>
      <c r="F3" s="2" t="s">
        <v>204</v>
      </c>
      <c r="H3" t="s">
        <v>205</v>
      </c>
    </row>
    <row r="4" spans="1:8" ht="27.75" customHeight="1" x14ac:dyDescent="0.3">
      <c r="A4" s="3" t="s">
        <v>15</v>
      </c>
      <c r="B4" s="3" t="s">
        <v>21</v>
      </c>
      <c r="C4" s="3">
        <v>3</v>
      </c>
      <c r="E4" s="3" t="s">
        <v>206</v>
      </c>
      <c r="F4" s="3">
        <v>1.08</v>
      </c>
      <c r="H4" s="4" t="s">
        <v>207</v>
      </c>
    </row>
    <row r="5" spans="1:8" ht="15" customHeight="1" x14ac:dyDescent="0.3">
      <c r="A5" s="3" t="s">
        <v>15</v>
      </c>
      <c r="B5" s="3" t="s">
        <v>16</v>
      </c>
      <c r="C5" s="3">
        <v>4</v>
      </c>
      <c r="E5" s="3" t="s">
        <v>208</v>
      </c>
      <c r="F5" s="3">
        <v>43</v>
      </c>
    </row>
    <row r="6" spans="1:8" ht="15" customHeight="1" x14ac:dyDescent="0.3">
      <c r="A6" s="3" t="s">
        <v>15</v>
      </c>
      <c r="B6" s="3" t="s">
        <v>44</v>
      </c>
      <c r="C6" s="3">
        <v>6</v>
      </c>
      <c r="E6" s="3" t="s">
        <v>209</v>
      </c>
      <c r="F6" s="3">
        <v>20</v>
      </c>
      <c r="H6" t="s">
        <v>210</v>
      </c>
    </row>
    <row r="7" spans="1:8" ht="15" customHeight="1" x14ac:dyDescent="0.3">
      <c r="A7" s="3" t="s">
        <v>41</v>
      </c>
      <c r="B7" s="3" t="s">
        <v>21</v>
      </c>
      <c r="C7" s="3">
        <v>4</v>
      </c>
      <c r="E7" s="3" t="s">
        <v>211</v>
      </c>
      <c r="F7" s="3">
        <v>2.4</v>
      </c>
    </row>
    <row r="8" spans="1:8" ht="15" customHeight="1" x14ac:dyDescent="0.3">
      <c r="A8" s="3" t="s">
        <v>41</v>
      </c>
      <c r="B8" s="3" t="s">
        <v>16</v>
      </c>
      <c r="C8" s="3">
        <v>5</v>
      </c>
      <c r="E8" s="3" t="s">
        <v>212</v>
      </c>
      <c r="F8" s="3">
        <v>1.05</v>
      </c>
    </row>
    <row r="9" spans="1:8" ht="15" customHeight="1" x14ac:dyDescent="0.3">
      <c r="A9" s="3" t="s">
        <v>41</v>
      </c>
      <c r="B9" s="3" t="s">
        <v>44</v>
      </c>
      <c r="C9" s="3">
        <v>7</v>
      </c>
      <c r="E9" s="3" t="s">
        <v>213</v>
      </c>
      <c r="F9" s="3">
        <v>2.5</v>
      </c>
    </row>
    <row r="10" spans="1:8" ht="15" customHeight="1" x14ac:dyDescent="0.3">
      <c r="A10" s="3" t="s">
        <v>20</v>
      </c>
      <c r="B10" s="3" t="s">
        <v>21</v>
      </c>
      <c r="C10" s="3">
        <v>3</v>
      </c>
      <c r="E10" s="3" t="s">
        <v>214</v>
      </c>
      <c r="F10" s="3">
        <v>0.38</v>
      </c>
    </row>
    <row r="11" spans="1:8" ht="15" customHeight="1" x14ac:dyDescent="0.3">
      <c r="A11" s="3" t="s">
        <v>20</v>
      </c>
      <c r="B11" s="3" t="s">
        <v>16</v>
      </c>
      <c r="C11" s="3">
        <v>4</v>
      </c>
      <c r="E11" s="3" t="s">
        <v>215</v>
      </c>
      <c r="F11" s="3">
        <v>14</v>
      </c>
      <c r="H11" t="s">
        <v>216</v>
      </c>
    </row>
    <row r="12" spans="1:8" ht="15" customHeight="1" x14ac:dyDescent="0.3">
      <c r="A12" s="3" t="s">
        <v>20</v>
      </c>
      <c r="B12" s="3" t="s">
        <v>44</v>
      </c>
      <c r="C12" s="3">
        <v>6</v>
      </c>
      <c r="E12" s="3" t="s">
        <v>217</v>
      </c>
      <c r="F12" s="3">
        <v>5</v>
      </c>
      <c r="H12" t="s">
        <v>218</v>
      </c>
    </row>
    <row r="13" spans="1:8" ht="15" customHeight="1" x14ac:dyDescent="0.3">
      <c r="E13" s="3" t="s">
        <v>219</v>
      </c>
      <c r="F13" s="3">
        <v>5</v>
      </c>
    </row>
    <row r="14" spans="1:8" ht="15" customHeight="1" x14ac:dyDescent="0.3">
      <c r="E14" s="3" t="s">
        <v>220</v>
      </c>
      <c r="F14" s="3">
        <f>(F23-F22+1)/30</f>
        <v>3.2</v>
      </c>
    </row>
    <row r="15" spans="1:8" ht="15" customHeight="1" x14ac:dyDescent="0.3">
      <c r="E15" s="3" t="s">
        <v>221</v>
      </c>
      <c r="F15" s="5">
        <v>1732412</v>
      </c>
    </row>
    <row r="16" spans="1:8" ht="15" customHeight="1" x14ac:dyDescent="0.3">
      <c r="E16" s="3" t="s">
        <v>222</v>
      </c>
      <c r="F16" s="5">
        <v>2645765</v>
      </c>
    </row>
    <row r="17" spans="5:8" ht="15" customHeight="1" x14ac:dyDescent="0.3">
      <c r="E17" s="3" t="s">
        <v>223</v>
      </c>
      <c r="F17" s="5">
        <v>3600000</v>
      </c>
    </row>
    <row r="18" spans="5:8" ht="15" customHeight="1" x14ac:dyDescent="0.3">
      <c r="E18" s="3" t="s">
        <v>224</v>
      </c>
      <c r="F18" s="5">
        <v>2539000</v>
      </c>
    </row>
    <row r="19" spans="5:8" ht="15" customHeight="1" x14ac:dyDescent="0.3">
      <c r="E19" t="s">
        <v>225</v>
      </c>
      <c r="F19">
        <v>6</v>
      </c>
      <c r="H19" t="s">
        <v>226</v>
      </c>
    </row>
    <row r="20" spans="5:8" ht="15" customHeight="1" x14ac:dyDescent="0.3">
      <c r="E20" t="s">
        <v>227</v>
      </c>
      <c r="F20">
        <v>8</v>
      </c>
      <c r="H20" t="s">
        <v>228</v>
      </c>
    </row>
    <row r="21" spans="5:8" ht="15" customHeight="1" x14ac:dyDescent="0.3">
      <c r="E21" t="s">
        <v>229</v>
      </c>
      <c r="F21">
        <v>6</v>
      </c>
      <c r="H21" t="s">
        <v>230</v>
      </c>
    </row>
    <row r="22" spans="5:8" ht="15" customHeight="1" x14ac:dyDescent="0.3">
      <c r="E22" t="s">
        <v>231</v>
      </c>
      <c r="F22" s="6">
        <v>46244</v>
      </c>
      <c r="H22" t="s">
        <v>232</v>
      </c>
    </row>
    <row r="23" spans="5:8" ht="15" customHeight="1" x14ac:dyDescent="0.3">
      <c r="E23" t="s">
        <v>233</v>
      </c>
      <c r="F23" s="6">
        <v>46339</v>
      </c>
      <c r="H23" t="s">
        <v>234</v>
      </c>
    </row>
    <row r="24" spans="5:8" ht="15" customHeight="1" x14ac:dyDescent="0.3">
      <c r="E24" t="s">
        <v>235</v>
      </c>
      <c r="F24" s="6">
        <v>46279</v>
      </c>
      <c r="H24" t="s">
        <v>236</v>
      </c>
    </row>
    <row r="25" spans="5:8" ht="15" customHeight="1" x14ac:dyDescent="0.3">
      <c r="E25" t="s">
        <v>237</v>
      </c>
      <c r="F25" s="6">
        <v>46339</v>
      </c>
      <c r="H25" t="s">
        <v>237</v>
      </c>
    </row>
    <row r="26" spans="5:8" ht="15" customHeight="1" x14ac:dyDescent="0.3">
      <c r="E26" t="s">
        <v>238</v>
      </c>
      <c r="F26" s="7">
        <v>0.4</v>
      </c>
      <c r="H26" t="s">
        <v>239</v>
      </c>
    </row>
    <row r="27" spans="5:8" ht="15" customHeight="1" x14ac:dyDescent="0.3">
      <c r="E27" t="s">
        <v>240</v>
      </c>
      <c r="F27">
        <f>F20*F21</f>
        <v>48</v>
      </c>
      <c r="H27" t="s">
        <v>241</v>
      </c>
    </row>
    <row r="28" spans="5:8" ht="15" customHeight="1" x14ac:dyDescent="0.3">
      <c r="E28" t="s">
        <v>242</v>
      </c>
      <c r="F28">
        <f>NETWORKDAYS.INTL(F22,F23,"0000001",Festivos!$A$2:$A$20)</f>
        <v>80</v>
      </c>
      <c r="H28" t="s">
        <v>243</v>
      </c>
    </row>
    <row r="29" spans="5:8" ht="15" customHeight="1" x14ac:dyDescent="0.3">
      <c r="E29" t="s">
        <v>244</v>
      </c>
      <c r="F29">
        <f>NETWORKDAYS.INTL(F24,F25,"0000001",Festivos!$A$2:$A$20)</f>
        <v>51</v>
      </c>
      <c r="H29" t="s">
        <v>243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zoomScaleNormal="100" workbookViewId="0"/>
  </sheetViews>
  <sheetFormatPr baseColWidth="10" defaultColWidth="8.6640625" defaultRowHeight="15" customHeight="1" x14ac:dyDescent="0.3"/>
  <cols>
    <col min="1" max="1" width="8" customWidth="1"/>
    <col min="2" max="2" width="105" customWidth="1"/>
    <col min="3" max="3" width="18" customWidth="1"/>
    <col min="4" max="4" width="28" customWidth="1"/>
  </cols>
  <sheetData>
    <row r="1" spans="1:4" ht="17.25" customHeight="1" x14ac:dyDescent="0.3">
      <c r="A1" s="1" t="s">
        <v>245</v>
      </c>
    </row>
    <row r="3" spans="1:4" ht="27.75" customHeight="1" x14ac:dyDescent="0.3">
      <c r="A3" s="2" t="s">
        <v>246</v>
      </c>
      <c r="B3" s="2" t="s">
        <v>247</v>
      </c>
      <c r="C3" s="2" t="s">
        <v>248</v>
      </c>
      <c r="D3" s="2" t="s">
        <v>249</v>
      </c>
    </row>
    <row r="4" spans="1:4" ht="27.75" customHeight="1" x14ac:dyDescent="0.3">
      <c r="A4" s="3">
        <v>1</v>
      </c>
      <c r="B4" s="3" t="s">
        <v>250</v>
      </c>
      <c r="C4" s="3" t="s">
        <v>251</v>
      </c>
      <c r="D4" s="3" t="s">
        <v>252</v>
      </c>
    </row>
    <row r="5" spans="1:4" ht="27.75" customHeight="1" x14ac:dyDescent="0.3">
      <c r="A5" s="3">
        <v>2</v>
      </c>
      <c r="B5" s="3" t="s">
        <v>253</v>
      </c>
      <c r="C5" s="3" t="s">
        <v>254</v>
      </c>
      <c r="D5" s="3" t="s">
        <v>255</v>
      </c>
    </row>
    <row r="6" spans="1:4" ht="27.75" customHeight="1" x14ac:dyDescent="0.3">
      <c r="A6" s="3">
        <v>3</v>
      </c>
      <c r="B6" s="3" t="s">
        <v>256</v>
      </c>
      <c r="C6" s="3" t="s">
        <v>257</v>
      </c>
      <c r="D6" s="3" t="s">
        <v>258</v>
      </c>
    </row>
    <row r="7" spans="1:4" ht="27.75" customHeight="1" x14ac:dyDescent="0.3">
      <c r="A7" s="3">
        <v>4</v>
      </c>
      <c r="B7" s="3" t="s">
        <v>259</v>
      </c>
      <c r="C7" s="3" t="s">
        <v>260</v>
      </c>
      <c r="D7" s="3" t="s">
        <v>261</v>
      </c>
    </row>
    <row r="8" spans="1:4" ht="27.75" customHeight="1" x14ac:dyDescent="0.3">
      <c r="A8" s="3">
        <v>5</v>
      </c>
      <c r="B8" s="3" t="s">
        <v>262</v>
      </c>
      <c r="C8" s="3" t="s">
        <v>263</v>
      </c>
      <c r="D8" s="3" t="s">
        <v>264</v>
      </c>
    </row>
    <row r="9" spans="1:4" ht="41.25" customHeight="1" x14ac:dyDescent="0.3">
      <c r="A9" s="3">
        <v>6</v>
      </c>
      <c r="B9" s="3" t="s">
        <v>265</v>
      </c>
      <c r="C9" s="3" t="s">
        <v>266</v>
      </c>
      <c r="D9" s="3" t="s">
        <v>264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27" customWidth="1"/>
    <col min="2" max="2" width="13" customWidth="1"/>
    <col min="3" max="3" width="55" customWidth="1"/>
    <col min="4" max="4" width="12" customWidth="1"/>
    <col min="5" max="5" width="14" customWidth="1"/>
    <col min="6" max="6" width="12" customWidth="1"/>
    <col min="8" max="8" width="7" customWidth="1"/>
    <col min="9" max="9" width="60" customWidth="1"/>
    <col min="10" max="12" width="8" customWidth="1"/>
    <col min="13" max="13" width="10" customWidth="1"/>
    <col min="14" max="14" width="11" customWidth="1"/>
    <col min="15" max="15" width="12" customWidth="1"/>
    <col min="16" max="16" width="25" customWidth="1"/>
  </cols>
  <sheetData>
    <row r="1" spans="1:16" ht="17.25" customHeight="1" x14ac:dyDescent="0.3">
      <c r="A1" s="1" t="s">
        <v>267</v>
      </c>
    </row>
    <row r="2" spans="1:16" ht="15" customHeight="1" x14ac:dyDescent="0.3">
      <c r="H2" s="8" t="s">
        <v>268</v>
      </c>
    </row>
    <row r="3" spans="1:16" ht="108.75" customHeight="1" x14ac:dyDescent="0.3">
      <c r="A3" t="s">
        <v>269</v>
      </c>
      <c r="B3" t="s">
        <v>270</v>
      </c>
      <c r="C3" t="s">
        <v>271</v>
      </c>
      <c r="D3">
        <v>10</v>
      </c>
      <c r="E3" s="9" t="s">
        <v>272</v>
      </c>
      <c r="H3" s="10" t="s">
        <v>273</v>
      </c>
      <c r="I3" s="10" t="s">
        <v>274</v>
      </c>
      <c r="J3" s="10" t="s">
        <v>275</v>
      </c>
      <c r="K3" s="10" t="s">
        <v>276</v>
      </c>
      <c r="L3" s="10" t="s">
        <v>277</v>
      </c>
      <c r="M3" s="10" t="s">
        <v>278</v>
      </c>
      <c r="N3" s="10" t="s">
        <v>279</v>
      </c>
      <c r="O3" s="10" t="s">
        <v>280</v>
      </c>
      <c r="P3" s="10" t="s">
        <v>281</v>
      </c>
    </row>
    <row r="4" spans="1:16" ht="15" customHeight="1" x14ac:dyDescent="0.3">
      <c r="H4" s="11">
        <v>1</v>
      </c>
      <c r="I4" s="11" t="s">
        <v>282</v>
      </c>
      <c r="J4" s="11">
        <v>0.5</v>
      </c>
      <c r="K4" s="11">
        <v>0.5</v>
      </c>
      <c r="L4" s="11">
        <v>0.5</v>
      </c>
      <c r="M4" s="11">
        <f t="shared" ref="M4:M16" si="0">(J4+4*K4+L4)/6</f>
        <v>0.5</v>
      </c>
      <c r="N4" s="11">
        <f>M4*Parametros!$F$20</f>
        <v>4</v>
      </c>
      <c r="O4" s="11"/>
      <c r="P4" s="11" t="s">
        <v>283</v>
      </c>
    </row>
    <row r="5" spans="1:16" ht="15" customHeight="1" x14ac:dyDescent="0.3">
      <c r="A5" s="2" t="s">
        <v>3</v>
      </c>
      <c r="B5" s="2" t="s">
        <v>273</v>
      </c>
      <c r="C5" s="2" t="s">
        <v>284</v>
      </c>
      <c r="D5" s="2" t="s">
        <v>6</v>
      </c>
      <c r="E5" s="2" t="s">
        <v>7</v>
      </c>
      <c r="F5" s="2" t="s">
        <v>8</v>
      </c>
      <c r="H5" s="11">
        <v>2</v>
      </c>
      <c r="I5" s="11" t="s">
        <v>285</v>
      </c>
      <c r="J5" s="11">
        <v>0.5</v>
      </c>
      <c r="K5" s="11">
        <v>1</v>
      </c>
      <c r="L5" s="11">
        <v>1.5</v>
      </c>
      <c r="M5" s="11">
        <f t="shared" si="0"/>
        <v>1</v>
      </c>
      <c r="N5" s="11">
        <f>M5*Parametros!$F$20</f>
        <v>8</v>
      </c>
      <c r="O5" s="11">
        <v>1</v>
      </c>
      <c r="P5" s="11" t="s">
        <v>286</v>
      </c>
    </row>
    <row r="6" spans="1:16" ht="27.75" customHeight="1" x14ac:dyDescent="0.3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12">
        <f>SUMIFS(Parametros!$C$4:$C$12,Parametros!$A$4:$A$12,D6,Parametros!$B$4:$B$12,E6)</f>
        <v>4</v>
      </c>
      <c r="H6" s="11">
        <v>3</v>
      </c>
      <c r="I6" s="11" t="s">
        <v>287</v>
      </c>
      <c r="J6" s="11">
        <v>0.5</v>
      </c>
      <c r="K6" s="11">
        <v>1</v>
      </c>
      <c r="L6" s="11">
        <v>1.5</v>
      </c>
      <c r="M6" s="11">
        <f t="shared" si="0"/>
        <v>1</v>
      </c>
      <c r="N6" s="11">
        <f>M6*Parametros!$F$20</f>
        <v>8</v>
      </c>
      <c r="O6" s="11">
        <v>2</v>
      </c>
      <c r="P6" s="11" t="s">
        <v>286</v>
      </c>
    </row>
    <row r="7" spans="1:16" ht="27.75" customHeight="1" x14ac:dyDescent="0.3">
      <c r="A7" s="3" t="s">
        <v>12</v>
      </c>
      <c r="B7" s="3" t="s">
        <v>18</v>
      </c>
      <c r="C7" s="3" t="s">
        <v>19</v>
      </c>
      <c r="D7" s="3" t="s">
        <v>20</v>
      </c>
      <c r="E7" s="3" t="s">
        <v>21</v>
      </c>
      <c r="F7" s="12">
        <f>SUMIFS(Parametros!$C$4:$C$12,Parametros!$A$4:$A$12,D7,Parametros!$B$4:$B$12,E7)</f>
        <v>3</v>
      </c>
      <c r="H7" s="11">
        <v>4</v>
      </c>
      <c r="I7" s="11" t="s">
        <v>288</v>
      </c>
      <c r="J7" s="11">
        <v>0.5</v>
      </c>
      <c r="K7" s="11">
        <v>0.5</v>
      </c>
      <c r="L7" s="11">
        <v>0.5</v>
      </c>
      <c r="M7" s="11">
        <f t="shared" si="0"/>
        <v>0.5</v>
      </c>
      <c r="N7" s="11">
        <f>M7*Parametros!$F$20</f>
        <v>4</v>
      </c>
      <c r="O7" s="11">
        <v>3</v>
      </c>
      <c r="P7" s="11" t="s">
        <v>286</v>
      </c>
    </row>
    <row r="8" spans="1:16" ht="27.75" customHeight="1" x14ac:dyDescent="0.3">
      <c r="A8" s="3" t="s">
        <v>12</v>
      </c>
      <c r="B8" s="3" t="s">
        <v>22</v>
      </c>
      <c r="C8" s="3" t="s">
        <v>23</v>
      </c>
      <c r="D8" s="3" t="s">
        <v>15</v>
      </c>
      <c r="E8" s="3" t="s">
        <v>16</v>
      </c>
      <c r="F8" s="12">
        <f>SUMIFS(Parametros!$C$4:$C$12,Parametros!$A$4:$A$12,D8,Parametros!$B$4:$B$12,E8)</f>
        <v>4</v>
      </c>
      <c r="H8" s="11">
        <v>5</v>
      </c>
      <c r="I8" s="11" t="s">
        <v>289</v>
      </c>
      <c r="J8" s="11">
        <v>0.5</v>
      </c>
      <c r="K8" s="11">
        <v>0.5</v>
      </c>
      <c r="L8" s="11">
        <v>0.5</v>
      </c>
      <c r="M8" s="11">
        <f t="shared" si="0"/>
        <v>0.5</v>
      </c>
      <c r="N8" s="11">
        <f>M8*Parametros!$F$20</f>
        <v>4</v>
      </c>
      <c r="O8" s="11">
        <v>4</v>
      </c>
      <c r="P8" s="11" t="s">
        <v>286</v>
      </c>
    </row>
    <row r="9" spans="1:16" ht="27.75" customHeight="1" x14ac:dyDescent="0.3">
      <c r="A9" s="3" t="s">
        <v>12</v>
      </c>
      <c r="B9" s="3" t="s">
        <v>24</v>
      </c>
      <c r="C9" s="3" t="s">
        <v>25</v>
      </c>
      <c r="D9" s="3" t="s">
        <v>20</v>
      </c>
      <c r="E9" s="3" t="s">
        <v>21</v>
      </c>
      <c r="F9" s="12">
        <f>SUMIFS(Parametros!$C$4:$C$12,Parametros!$A$4:$A$12,D9,Parametros!$B$4:$B$12,E9)</f>
        <v>3</v>
      </c>
      <c r="H9" s="11">
        <v>6</v>
      </c>
      <c r="I9" s="11" t="s">
        <v>290</v>
      </c>
      <c r="J9" s="11">
        <v>0.5</v>
      </c>
      <c r="K9" s="11">
        <v>0.5</v>
      </c>
      <c r="L9" s="11">
        <v>0.5</v>
      </c>
      <c r="M9" s="11">
        <f t="shared" si="0"/>
        <v>0.5</v>
      </c>
      <c r="N9" s="11">
        <f>M9*Parametros!$F$20</f>
        <v>4</v>
      </c>
      <c r="O9" s="11">
        <v>5</v>
      </c>
      <c r="P9" s="11" t="s">
        <v>286</v>
      </c>
    </row>
    <row r="10" spans="1:16" ht="27.75" customHeight="1" x14ac:dyDescent="0.3">
      <c r="A10" s="3" t="s">
        <v>12</v>
      </c>
      <c r="B10" s="3" t="s">
        <v>26</v>
      </c>
      <c r="C10" s="3" t="s">
        <v>27</v>
      </c>
      <c r="D10" s="3" t="s">
        <v>15</v>
      </c>
      <c r="E10" s="3" t="s">
        <v>21</v>
      </c>
      <c r="F10" s="12">
        <f>SUMIFS(Parametros!$C$4:$C$12,Parametros!$A$4:$A$12,D10,Parametros!$B$4:$B$12,E10)</f>
        <v>3</v>
      </c>
      <c r="H10" s="11">
        <v>7</v>
      </c>
      <c r="I10" s="11" t="s">
        <v>291</v>
      </c>
      <c r="J10" s="11">
        <v>0.5</v>
      </c>
      <c r="K10" s="11">
        <v>0.5</v>
      </c>
      <c r="L10" s="11">
        <v>0.5</v>
      </c>
      <c r="M10" s="11">
        <f t="shared" si="0"/>
        <v>0.5</v>
      </c>
      <c r="N10" s="11">
        <f>M10*Parametros!$F$20</f>
        <v>4</v>
      </c>
      <c r="O10" s="11">
        <v>6</v>
      </c>
      <c r="P10" s="11" t="s">
        <v>286</v>
      </c>
    </row>
    <row r="11" spans="1:16" ht="27.75" customHeight="1" x14ac:dyDescent="0.3">
      <c r="A11" s="3" t="s">
        <v>12</v>
      </c>
      <c r="B11" s="3" t="s">
        <v>28</v>
      </c>
      <c r="C11" s="3" t="s">
        <v>29</v>
      </c>
      <c r="D11" s="3" t="s">
        <v>15</v>
      </c>
      <c r="E11" s="3" t="s">
        <v>16</v>
      </c>
      <c r="F11" s="12">
        <f>SUMIFS(Parametros!$C$4:$C$12,Parametros!$A$4:$A$12,D11,Parametros!$B$4:$B$12,E11)</f>
        <v>4</v>
      </c>
      <c r="H11" s="11">
        <v>8</v>
      </c>
      <c r="I11" s="11" t="s">
        <v>292</v>
      </c>
      <c r="J11" s="11">
        <v>1</v>
      </c>
      <c r="K11" s="11">
        <v>1.5</v>
      </c>
      <c r="L11" s="11">
        <v>2</v>
      </c>
      <c r="M11" s="11">
        <f t="shared" si="0"/>
        <v>1.5</v>
      </c>
      <c r="N11" s="11">
        <f>M11*Parametros!$F$20</f>
        <v>12</v>
      </c>
      <c r="O11" s="11">
        <v>7</v>
      </c>
      <c r="P11" s="11" t="s">
        <v>286</v>
      </c>
    </row>
    <row r="12" spans="1:16" ht="15" customHeight="1" x14ac:dyDescent="0.3">
      <c r="A12" s="13"/>
      <c r="B12" s="13"/>
      <c r="C12" s="13" t="s">
        <v>293</v>
      </c>
      <c r="D12" s="13"/>
      <c r="E12" s="13"/>
      <c r="F12" s="14">
        <f>SUM(F6:F11)</f>
        <v>21</v>
      </c>
      <c r="H12" s="11">
        <v>9</v>
      </c>
      <c r="I12" s="11" t="s">
        <v>294</v>
      </c>
      <c r="J12" s="11">
        <v>1</v>
      </c>
      <c r="K12" s="11">
        <v>1.5</v>
      </c>
      <c r="L12" s="11">
        <v>2</v>
      </c>
      <c r="M12" s="11">
        <f t="shared" si="0"/>
        <v>1.5</v>
      </c>
      <c r="N12" s="11">
        <f>M12*Parametros!$F$20</f>
        <v>12</v>
      </c>
      <c r="O12" s="11">
        <v>8</v>
      </c>
      <c r="P12" s="11" t="s">
        <v>286</v>
      </c>
    </row>
    <row r="13" spans="1:16" ht="27.75" customHeight="1" x14ac:dyDescent="0.3">
      <c r="A13" s="3" t="s">
        <v>30</v>
      </c>
      <c r="B13" s="3" t="s">
        <v>31</v>
      </c>
      <c r="C13" s="3" t="s">
        <v>32</v>
      </c>
      <c r="D13" s="3" t="s">
        <v>15</v>
      </c>
      <c r="E13" s="3" t="s">
        <v>16</v>
      </c>
      <c r="F13" s="12">
        <f>SUMIFS(Parametros!$C$4:$C$12,Parametros!$A$4:$A$12,D13,Parametros!$B$4:$B$12,E13)</f>
        <v>4</v>
      </c>
      <c r="H13" s="11">
        <v>10</v>
      </c>
      <c r="I13" s="11" t="s">
        <v>295</v>
      </c>
      <c r="J13" s="11">
        <v>0.5</v>
      </c>
      <c r="K13" s="11">
        <v>1</v>
      </c>
      <c r="L13" s="11">
        <v>1.5</v>
      </c>
      <c r="M13" s="11">
        <f t="shared" si="0"/>
        <v>1</v>
      </c>
      <c r="N13" s="11">
        <f>M13*Parametros!$F$20</f>
        <v>8</v>
      </c>
      <c r="O13" s="11">
        <v>9</v>
      </c>
      <c r="P13" s="11" t="s">
        <v>286</v>
      </c>
    </row>
    <row r="14" spans="1:16" ht="27.75" customHeight="1" x14ac:dyDescent="0.3">
      <c r="A14" s="3" t="s">
        <v>30</v>
      </c>
      <c r="B14" s="3" t="s">
        <v>33</v>
      </c>
      <c r="C14" s="3" t="s">
        <v>34</v>
      </c>
      <c r="D14" s="3" t="s">
        <v>20</v>
      </c>
      <c r="E14" s="3" t="s">
        <v>21</v>
      </c>
      <c r="F14" s="12">
        <f>SUMIFS(Parametros!$C$4:$C$12,Parametros!$A$4:$A$12,D14,Parametros!$B$4:$B$12,E14)</f>
        <v>3</v>
      </c>
      <c r="H14" s="11">
        <v>11</v>
      </c>
      <c r="I14" s="11" t="s">
        <v>296</v>
      </c>
      <c r="J14" s="11">
        <v>0.5</v>
      </c>
      <c r="K14" s="11">
        <v>0.5</v>
      </c>
      <c r="L14" s="11">
        <v>0.5</v>
      </c>
      <c r="M14" s="11">
        <f t="shared" si="0"/>
        <v>0.5</v>
      </c>
      <c r="N14" s="11">
        <f>M14*Parametros!$F$20</f>
        <v>4</v>
      </c>
      <c r="O14" s="11">
        <v>10</v>
      </c>
      <c r="P14" s="11" t="s">
        <v>286</v>
      </c>
    </row>
    <row r="15" spans="1:16" ht="27.75" customHeight="1" x14ac:dyDescent="0.3">
      <c r="A15" s="3" t="s">
        <v>30</v>
      </c>
      <c r="B15" s="3" t="s">
        <v>35</v>
      </c>
      <c r="C15" s="3" t="s">
        <v>36</v>
      </c>
      <c r="D15" s="3" t="s">
        <v>15</v>
      </c>
      <c r="E15" s="3" t="s">
        <v>16</v>
      </c>
      <c r="F15" s="12">
        <f>SUMIFS(Parametros!$C$4:$C$12,Parametros!$A$4:$A$12,D15,Parametros!$B$4:$B$12,E15)</f>
        <v>4</v>
      </c>
      <c r="H15" s="11">
        <v>12</v>
      </c>
      <c r="I15" s="11" t="s">
        <v>297</v>
      </c>
      <c r="J15" s="11">
        <v>0.5</v>
      </c>
      <c r="K15" s="11">
        <v>0.5</v>
      </c>
      <c r="L15" s="11">
        <v>0.5</v>
      </c>
      <c r="M15" s="11">
        <f t="shared" si="0"/>
        <v>0.5</v>
      </c>
      <c r="N15" s="11">
        <f>M15*Parametros!$F$20</f>
        <v>4</v>
      </c>
      <c r="O15" s="11">
        <v>11</v>
      </c>
      <c r="P15" s="11" t="s">
        <v>286</v>
      </c>
    </row>
    <row r="16" spans="1:16" ht="27.75" customHeight="1" x14ac:dyDescent="0.3">
      <c r="A16" s="3" t="s">
        <v>30</v>
      </c>
      <c r="B16" s="3" t="s">
        <v>37</v>
      </c>
      <c r="C16" s="3" t="s">
        <v>38</v>
      </c>
      <c r="D16" s="3" t="s">
        <v>15</v>
      </c>
      <c r="E16" s="3" t="s">
        <v>16</v>
      </c>
      <c r="F16" s="12">
        <f>SUMIFS(Parametros!$C$4:$C$12,Parametros!$A$4:$A$12,D16,Parametros!$B$4:$B$12,E16)</f>
        <v>4</v>
      </c>
      <c r="H16" s="11">
        <v>13</v>
      </c>
      <c r="I16" s="11" t="s">
        <v>298</v>
      </c>
      <c r="J16" s="11">
        <v>0.5</v>
      </c>
      <c r="K16" s="11">
        <v>0.5</v>
      </c>
      <c r="L16" s="11">
        <v>0.5</v>
      </c>
      <c r="M16" s="11">
        <f t="shared" si="0"/>
        <v>0.5</v>
      </c>
      <c r="N16" s="11">
        <f>M16*Parametros!$F$20</f>
        <v>4</v>
      </c>
      <c r="O16" s="11">
        <v>12</v>
      </c>
      <c r="P16" s="11" t="s">
        <v>283</v>
      </c>
    </row>
    <row r="17" spans="1:11" ht="27.75" customHeight="1" x14ac:dyDescent="0.3">
      <c r="A17" s="3" t="s">
        <v>30</v>
      </c>
      <c r="B17" s="3" t="s">
        <v>39</v>
      </c>
      <c r="C17" s="3" t="s">
        <v>40</v>
      </c>
      <c r="D17" s="3" t="s">
        <v>41</v>
      </c>
      <c r="E17" s="3" t="s">
        <v>16</v>
      </c>
      <c r="F17" s="12">
        <f>SUMIFS(Parametros!$C$4:$C$12,Parametros!$A$4:$A$12,D17,Parametros!$B$4:$B$12,E17)</f>
        <v>5</v>
      </c>
    </row>
    <row r="18" spans="1:11" ht="27.75" customHeight="1" x14ac:dyDescent="0.3">
      <c r="A18" s="3" t="s">
        <v>30</v>
      </c>
      <c r="B18" s="3" t="s">
        <v>42</v>
      </c>
      <c r="C18" s="3" t="s">
        <v>43</v>
      </c>
      <c r="D18" s="3" t="s">
        <v>15</v>
      </c>
      <c r="E18" s="3" t="s">
        <v>44</v>
      </c>
      <c r="F18" s="12">
        <f>SUMIFS(Parametros!$C$4:$C$12,Parametros!$A$4:$A$12,D18,Parametros!$B$4:$B$12,E18)</f>
        <v>6</v>
      </c>
    </row>
    <row r="19" spans="1:11" ht="27.75" customHeight="1" x14ac:dyDescent="0.3">
      <c r="A19" s="3" t="s">
        <v>30</v>
      </c>
      <c r="B19" s="3" t="s">
        <v>45</v>
      </c>
      <c r="C19" s="3" t="s">
        <v>46</v>
      </c>
      <c r="D19" s="3" t="s">
        <v>15</v>
      </c>
      <c r="E19" s="3" t="s">
        <v>16</v>
      </c>
      <c r="F19" s="12">
        <f>SUMIFS(Parametros!$C$4:$C$12,Parametros!$A$4:$A$12,D19,Parametros!$B$4:$B$12,E19)</f>
        <v>4</v>
      </c>
    </row>
    <row r="20" spans="1:11" ht="27.75" customHeight="1" x14ac:dyDescent="0.3">
      <c r="A20" s="3" t="s">
        <v>30</v>
      </c>
      <c r="B20" s="3" t="s">
        <v>47</v>
      </c>
      <c r="C20" s="3" t="s">
        <v>48</v>
      </c>
      <c r="D20" s="3" t="s">
        <v>15</v>
      </c>
      <c r="E20" s="3" t="s">
        <v>16</v>
      </c>
      <c r="F20" s="12">
        <f>SUMIFS(Parametros!$C$4:$C$12,Parametros!$A$4:$A$12,D20,Parametros!$B$4:$B$12,E20)</f>
        <v>4</v>
      </c>
    </row>
    <row r="21" spans="1:11" ht="15" customHeight="1" x14ac:dyDescent="0.3">
      <c r="A21" s="13"/>
      <c r="B21" s="13"/>
      <c r="C21" s="13" t="s">
        <v>299</v>
      </c>
      <c r="D21" s="13"/>
      <c r="E21" s="13"/>
      <c r="F21" s="14">
        <f>SUM(F13:F20)</f>
        <v>34</v>
      </c>
    </row>
    <row r="24" spans="1:11" ht="15" customHeight="1" x14ac:dyDescent="0.3">
      <c r="A24" s="15" t="s">
        <v>300</v>
      </c>
      <c r="H24" s="15" t="s">
        <v>301</v>
      </c>
    </row>
    <row r="25" spans="1:11" ht="15" customHeight="1" x14ac:dyDescent="0.3">
      <c r="A25" s="16" t="s">
        <v>302</v>
      </c>
      <c r="B25" s="16" t="s">
        <v>21</v>
      </c>
      <c r="C25" s="16" t="s">
        <v>16</v>
      </c>
      <c r="D25" s="16" t="s">
        <v>44</v>
      </c>
      <c r="E25" s="16" t="s">
        <v>8</v>
      </c>
      <c r="H25" s="16" t="s">
        <v>273</v>
      </c>
      <c r="I25" s="16" t="s">
        <v>303</v>
      </c>
      <c r="J25" s="16" t="s">
        <v>7</v>
      </c>
      <c r="K25" s="16" t="s">
        <v>8</v>
      </c>
    </row>
    <row r="26" spans="1:11" ht="15" customHeight="1" x14ac:dyDescent="0.3">
      <c r="A26" s="3" t="s">
        <v>304</v>
      </c>
      <c r="B26" s="12">
        <f>COUNTIFS($D$6:$D$21,"EI",$E$6:$E$21,"Baja")</f>
        <v>1</v>
      </c>
      <c r="C26" s="12">
        <f>COUNTIFS($D$6:$D$21,"EI",$E$6:$E$21,"Media")</f>
        <v>8</v>
      </c>
      <c r="D26" s="12">
        <f>COUNTIFS($D$6:$D$21,"EI",$E$6:$E$21,"Alta")</f>
        <v>1</v>
      </c>
      <c r="E26" s="12">
        <f>SUMIFS($F$6:$F$21,$D$6:$D$21,"EI")</f>
        <v>41</v>
      </c>
      <c r="H26" s="3" t="s">
        <v>305</v>
      </c>
      <c r="I26" s="3" t="s">
        <v>306</v>
      </c>
      <c r="J26" s="3" t="s">
        <v>21</v>
      </c>
      <c r="K26" s="12">
        <f>IF(J26="Baja",7,IF(J26="Media",10,15))</f>
        <v>7</v>
      </c>
    </row>
    <row r="27" spans="1:11" ht="15" customHeight="1" x14ac:dyDescent="0.3">
      <c r="A27" s="3" t="s">
        <v>307</v>
      </c>
      <c r="B27" s="12">
        <f>COUNTIFS($D$6:$D$21,"EO",$E$6:$E$21,"Baja")</f>
        <v>0</v>
      </c>
      <c r="C27" s="12">
        <f>COUNTIFS($D$6:$D$21,"EO",$E$6:$E$21,"Media")</f>
        <v>1</v>
      </c>
      <c r="D27" s="12">
        <f>COUNTIFS($D$6:$D$21,"EO",$E$6:$E$21,"Alta")</f>
        <v>0</v>
      </c>
      <c r="E27" s="12">
        <f>SUMIFS($F$6:$F$21,$D$6:$D$21,"EO")</f>
        <v>5</v>
      </c>
      <c r="H27" s="3" t="s">
        <v>308</v>
      </c>
      <c r="I27" s="3" t="s">
        <v>309</v>
      </c>
      <c r="J27" s="3" t="s">
        <v>21</v>
      </c>
      <c r="K27" s="12">
        <f>IF(J27="Baja",7,IF(J27="Media",10,15))</f>
        <v>7</v>
      </c>
    </row>
    <row r="28" spans="1:11" ht="15" customHeight="1" x14ac:dyDescent="0.3">
      <c r="A28" s="3" t="s">
        <v>310</v>
      </c>
      <c r="B28" s="12">
        <f>COUNTIFS($D$6:$D$21,"EQ",$E$6:$E$21,"Baja")</f>
        <v>3</v>
      </c>
      <c r="C28" s="12">
        <f>COUNTIFS($D$6:$D$21,"EQ",$E$6:$E$21,"Media")</f>
        <v>0</v>
      </c>
      <c r="D28" s="12">
        <f>COUNTIFS($D$6:$D$21,"EQ",$E$6:$E$21,"Alta")</f>
        <v>0</v>
      </c>
      <c r="E28" s="12">
        <f>SUMIFS($F$6:$F$21,$D$6:$D$21,"EQ")</f>
        <v>9</v>
      </c>
      <c r="H28" s="3" t="s">
        <v>311</v>
      </c>
      <c r="I28" s="3" t="s">
        <v>312</v>
      </c>
      <c r="J28" s="3" t="s">
        <v>21</v>
      </c>
      <c r="K28" s="12">
        <f>IF(J28="Baja",7,IF(J28="Media",10,15))</f>
        <v>7</v>
      </c>
    </row>
    <row r="29" spans="1:11" ht="15" customHeight="1" x14ac:dyDescent="0.3">
      <c r="A29" s="17" t="s">
        <v>313</v>
      </c>
      <c r="B29" s="17"/>
      <c r="C29" s="17"/>
      <c r="D29" s="17"/>
      <c r="E29" s="12">
        <f>SUM(E26:E28)</f>
        <v>55</v>
      </c>
      <c r="H29" s="3" t="s">
        <v>314</v>
      </c>
      <c r="I29" s="3" t="s">
        <v>315</v>
      </c>
      <c r="J29" s="3" t="s">
        <v>44</v>
      </c>
      <c r="K29" s="12">
        <f>IF(J29="Baja",7,IF(J29="Media",10,15))</f>
        <v>15</v>
      </c>
    </row>
    <row r="30" spans="1:11" ht="15" customHeight="1" x14ac:dyDescent="0.3">
      <c r="H30" s="17"/>
      <c r="I30" s="17"/>
      <c r="J30" s="17" t="s">
        <v>316</v>
      </c>
      <c r="K30" s="12">
        <f>SUM(K26:K29)</f>
        <v>36</v>
      </c>
    </row>
    <row r="33" spans="1:2" ht="15" customHeight="1" x14ac:dyDescent="0.3">
      <c r="A33" s="15" t="s">
        <v>317</v>
      </c>
    </row>
    <row r="34" spans="1:2" ht="15" customHeight="1" x14ac:dyDescent="0.3">
      <c r="A34" s="3" t="s">
        <v>313</v>
      </c>
      <c r="B34" s="12">
        <f>E29</f>
        <v>55</v>
      </c>
    </row>
    <row r="35" spans="1:2" ht="15" customHeight="1" x14ac:dyDescent="0.3">
      <c r="A35" s="3" t="s">
        <v>318</v>
      </c>
      <c r="B35" s="12">
        <f>K30</f>
        <v>36</v>
      </c>
    </row>
    <row r="36" spans="1:2" ht="15" customHeight="1" x14ac:dyDescent="0.3">
      <c r="A36" s="3" t="s">
        <v>319</v>
      </c>
      <c r="B36" s="12">
        <f>B34+B35</f>
        <v>91</v>
      </c>
    </row>
    <row r="37" spans="1:2" ht="15" customHeight="1" x14ac:dyDescent="0.3">
      <c r="A37" s="3" t="s">
        <v>206</v>
      </c>
      <c r="B37" s="12">
        <f>Parametros!$F$4</f>
        <v>1.08</v>
      </c>
    </row>
    <row r="38" spans="1:2" ht="15" customHeight="1" x14ac:dyDescent="0.3">
      <c r="A38" s="3" t="s">
        <v>320</v>
      </c>
      <c r="B38" s="12">
        <f>B36*B37</f>
        <v>98.28</v>
      </c>
    </row>
    <row r="39" spans="1:2" ht="15" customHeight="1" x14ac:dyDescent="0.3">
      <c r="A39" s="3" t="s">
        <v>209</v>
      </c>
      <c r="B39" s="12">
        <f>Parametros!$F$6</f>
        <v>20</v>
      </c>
    </row>
    <row r="40" spans="1:2" ht="15" customHeight="1" x14ac:dyDescent="0.3">
      <c r="A40" s="3" t="s">
        <v>321</v>
      </c>
      <c r="B40" s="12">
        <f>B38*B39</f>
        <v>1965.6</v>
      </c>
    </row>
    <row r="41" spans="1:2" ht="15" customHeight="1" x14ac:dyDescent="0.3">
      <c r="A41" s="3" t="s">
        <v>322</v>
      </c>
      <c r="B41" s="12">
        <f>B40/1000</f>
        <v>1.9656</v>
      </c>
    </row>
    <row r="43" spans="1:2" ht="15" customHeight="1" x14ac:dyDescent="0.3">
      <c r="A43" s="18" t="s">
        <v>323</v>
      </c>
    </row>
    <row r="44" spans="1:2" ht="15" customHeight="1" x14ac:dyDescent="0.3">
      <c r="A44" t="s">
        <v>324</v>
      </c>
      <c r="B44">
        <f>B38</f>
        <v>98.28</v>
      </c>
    </row>
    <row r="45" spans="1:2" ht="15" customHeight="1" x14ac:dyDescent="0.3">
      <c r="A45" t="s">
        <v>325</v>
      </c>
      <c r="B45">
        <f>Parametros!$F$19</f>
        <v>6</v>
      </c>
    </row>
    <row r="46" spans="1:2" ht="15" customHeight="1" x14ac:dyDescent="0.3">
      <c r="A46" t="s">
        <v>326</v>
      </c>
      <c r="B46">
        <f>B44*B45</f>
        <v>589.68000000000006</v>
      </c>
    </row>
    <row r="47" spans="1:2" ht="15" customHeight="1" x14ac:dyDescent="0.3">
      <c r="A47" t="s">
        <v>327</v>
      </c>
      <c r="B47">
        <f>B46*Parametros!$F$26</f>
        <v>235.87200000000004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27" customWidth="1"/>
    <col min="2" max="2" width="13" customWidth="1"/>
    <col min="3" max="3" width="55" customWidth="1"/>
    <col min="4" max="4" width="12" customWidth="1"/>
    <col min="5" max="5" width="14" customWidth="1"/>
    <col min="6" max="6" width="12" customWidth="1"/>
    <col min="8" max="8" width="7" customWidth="1"/>
    <col min="9" max="9" width="60" customWidth="1"/>
    <col min="10" max="12" width="8" customWidth="1"/>
    <col min="13" max="13" width="10" customWidth="1"/>
    <col min="14" max="14" width="11" customWidth="1"/>
    <col min="15" max="15" width="12" customWidth="1"/>
    <col min="16" max="16" width="25" customWidth="1"/>
  </cols>
  <sheetData>
    <row r="1" spans="1:16" ht="17.25" customHeight="1" x14ac:dyDescent="0.3">
      <c r="A1" s="1" t="s">
        <v>328</v>
      </c>
    </row>
    <row r="2" spans="1:16" ht="15" customHeight="1" x14ac:dyDescent="0.3">
      <c r="H2" s="8" t="s">
        <v>268</v>
      </c>
    </row>
    <row r="3" spans="1:16" ht="81.75" customHeight="1" x14ac:dyDescent="0.3">
      <c r="A3" t="s">
        <v>269</v>
      </c>
      <c r="B3" t="s">
        <v>329</v>
      </c>
      <c r="C3" t="s">
        <v>271</v>
      </c>
      <c r="D3">
        <v>10</v>
      </c>
      <c r="E3" s="9" t="s">
        <v>330</v>
      </c>
      <c r="H3" s="10" t="s">
        <v>273</v>
      </c>
      <c r="I3" s="10" t="s">
        <v>274</v>
      </c>
      <c r="J3" s="10" t="s">
        <v>275</v>
      </c>
      <c r="K3" s="10" t="s">
        <v>276</v>
      </c>
      <c r="L3" s="10" t="s">
        <v>277</v>
      </c>
      <c r="M3" s="10" t="s">
        <v>278</v>
      </c>
      <c r="N3" s="10" t="s">
        <v>279</v>
      </c>
      <c r="O3" s="10" t="s">
        <v>280</v>
      </c>
      <c r="P3" s="10" t="s">
        <v>281</v>
      </c>
    </row>
    <row r="4" spans="1:16" ht="15" customHeight="1" x14ac:dyDescent="0.3">
      <c r="H4" s="11">
        <v>1</v>
      </c>
      <c r="I4" s="11" t="s">
        <v>282</v>
      </c>
      <c r="J4" s="11">
        <v>0.5</v>
      </c>
      <c r="K4" s="11">
        <v>0.5</v>
      </c>
      <c r="L4" s="11">
        <v>0.5</v>
      </c>
      <c r="M4" s="11">
        <f t="shared" ref="M4:M16" si="0">(J4+4*K4+L4)/6</f>
        <v>0.5</v>
      </c>
      <c r="N4" s="11">
        <f>M4*Parametros!$F$20</f>
        <v>4</v>
      </c>
      <c r="O4" s="11"/>
      <c r="P4" s="11" t="s">
        <v>283</v>
      </c>
    </row>
    <row r="5" spans="1:16" ht="15" customHeight="1" x14ac:dyDescent="0.3">
      <c r="A5" s="2" t="s">
        <v>3</v>
      </c>
      <c r="B5" s="2" t="s">
        <v>273</v>
      </c>
      <c r="C5" s="2" t="s">
        <v>284</v>
      </c>
      <c r="D5" s="2" t="s">
        <v>6</v>
      </c>
      <c r="E5" s="2" t="s">
        <v>7</v>
      </c>
      <c r="F5" s="2" t="s">
        <v>8</v>
      </c>
      <c r="H5" s="11">
        <v>2</v>
      </c>
      <c r="I5" s="11" t="s">
        <v>285</v>
      </c>
      <c r="J5" s="11">
        <v>0.5</v>
      </c>
      <c r="K5" s="11">
        <v>1</v>
      </c>
      <c r="L5" s="11">
        <v>1.5</v>
      </c>
      <c r="M5" s="11">
        <f t="shared" si="0"/>
        <v>1</v>
      </c>
      <c r="N5" s="11">
        <f>M5*Parametros!$F$20</f>
        <v>8</v>
      </c>
      <c r="O5" s="11">
        <v>1</v>
      </c>
      <c r="P5" s="11" t="s">
        <v>286</v>
      </c>
    </row>
    <row r="6" spans="1:16" ht="27.75" customHeight="1" x14ac:dyDescent="0.3">
      <c r="A6" s="3" t="s">
        <v>50</v>
      </c>
      <c r="B6" s="3" t="s">
        <v>51</v>
      </c>
      <c r="C6" s="3" t="s">
        <v>52</v>
      </c>
      <c r="D6" s="3" t="s">
        <v>15</v>
      </c>
      <c r="E6" s="3" t="s">
        <v>16</v>
      </c>
      <c r="F6" s="12">
        <f>SUMIFS(Parametros!$C$4:$C$12,Parametros!$A$4:$A$12,D6,Parametros!$B$4:$B$12,E6)</f>
        <v>4</v>
      </c>
      <c r="H6" s="11">
        <v>3</v>
      </c>
      <c r="I6" s="11" t="s">
        <v>287</v>
      </c>
      <c r="J6" s="11">
        <v>0.5</v>
      </c>
      <c r="K6" s="11">
        <v>1</v>
      </c>
      <c r="L6" s="11">
        <v>1.5</v>
      </c>
      <c r="M6" s="11">
        <f t="shared" si="0"/>
        <v>1</v>
      </c>
      <c r="N6" s="11">
        <f>M6*Parametros!$F$20</f>
        <v>8</v>
      </c>
      <c r="O6" s="11">
        <v>2</v>
      </c>
      <c r="P6" s="11" t="s">
        <v>286</v>
      </c>
    </row>
    <row r="7" spans="1:16" ht="27.75" customHeight="1" x14ac:dyDescent="0.3">
      <c r="A7" s="3" t="s">
        <v>50</v>
      </c>
      <c r="B7" s="3" t="s">
        <v>53</v>
      </c>
      <c r="C7" s="3" t="s">
        <v>54</v>
      </c>
      <c r="D7" s="3" t="s">
        <v>20</v>
      </c>
      <c r="E7" s="3" t="s">
        <v>21</v>
      </c>
      <c r="F7" s="12">
        <f>SUMIFS(Parametros!$C$4:$C$12,Parametros!$A$4:$A$12,D7,Parametros!$B$4:$B$12,E7)</f>
        <v>3</v>
      </c>
      <c r="H7" s="11">
        <v>4</v>
      </c>
      <c r="I7" s="11" t="s">
        <v>288</v>
      </c>
      <c r="J7" s="11">
        <v>0.5</v>
      </c>
      <c r="K7" s="11">
        <v>0.5</v>
      </c>
      <c r="L7" s="11">
        <v>0.5</v>
      </c>
      <c r="M7" s="11">
        <f t="shared" si="0"/>
        <v>0.5</v>
      </c>
      <c r="N7" s="11">
        <f>M7*Parametros!$F$20</f>
        <v>4</v>
      </c>
      <c r="O7" s="11">
        <v>3</v>
      </c>
      <c r="P7" s="11" t="s">
        <v>286</v>
      </c>
    </row>
    <row r="8" spans="1:16" ht="27.75" customHeight="1" x14ac:dyDescent="0.3">
      <c r="A8" s="3" t="s">
        <v>50</v>
      </c>
      <c r="B8" s="3" t="s">
        <v>55</v>
      </c>
      <c r="C8" s="3" t="s">
        <v>56</v>
      </c>
      <c r="D8" s="3" t="s">
        <v>15</v>
      </c>
      <c r="E8" s="3" t="s">
        <v>16</v>
      </c>
      <c r="F8" s="12">
        <f>SUMIFS(Parametros!$C$4:$C$12,Parametros!$A$4:$A$12,D8,Parametros!$B$4:$B$12,E8)</f>
        <v>4</v>
      </c>
      <c r="H8" s="11">
        <v>5</v>
      </c>
      <c r="I8" s="11" t="s">
        <v>289</v>
      </c>
      <c r="J8" s="11">
        <v>0.5</v>
      </c>
      <c r="K8" s="11">
        <v>0.5</v>
      </c>
      <c r="L8" s="11">
        <v>0.5</v>
      </c>
      <c r="M8" s="11">
        <f t="shared" si="0"/>
        <v>0.5</v>
      </c>
      <c r="N8" s="11">
        <f>M8*Parametros!$F$20</f>
        <v>4</v>
      </c>
      <c r="O8" s="11">
        <v>4</v>
      </c>
      <c r="P8" s="11" t="s">
        <v>286</v>
      </c>
    </row>
    <row r="9" spans="1:16" ht="27.75" customHeight="1" x14ac:dyDescent="0.3">
      <c r="A9" s="3" t="s">
        <v>50</v>
      </c>
      <c r="B9" s="3" t="s">
        <v>57</v>
      </c>
      <c r="C9" s="3" t="s">
        <v>58</v>
      </c>
      <c r="D9" s="3" t="s">
        <v>15</v>
      </c>
      <c r="E9" s="3" t="s">
        <v>16</v>
      </c>
      <c r="F9" s="12">
        <f>SUMIFS(Parametros!$C$4:$C$12,Parametros!$A$4:$A$12,D9,Parametros!$B$4:$B$12,E9)</f>
        <v>4</v>
      </c>
      <c r="H9" s="11">
        <v>6</v>
      </c>
      <c r="I9" s="11" t="s">
        <v>290</v>
      </c>
      <c r="J9" s="11">
        <v>0.5</v>
      </c>
      <c r="K9" s="11">
        <v>0.5</v>
      </c>
      <c r="L9" s="11">
        <v>0.5</v>
      </c>
      <c r="M9" s="11">
        <f t="shared" si="0"/>
        <v>0.5</v>
      </c>
      <c r="N9" s="11">
        <f>M9*Parametros!$F$20</f>
        <v>4</v>
      </c>
      <c r="O9" s="11">
        <v>5</v>
      </c>
      <c r="P9" s="11" t="s">
        <v>286</v>
      </c>
    </row>
    <row r="10" spans="1:16" ht="27.75" customHeight="1" x14ac:dyDescent="0.3">
      <c r="A10" s="3" t="s">
        <v>50</v>
      </c>
      <c r="B10" s="3" t="s">
        <v>59</v>
      </c>
      <c r="C10" s="3" t="s">
        <v>60</v>
      </c>
      <c r="D10" s="3" t="s">
        <v>15</v>
      </c>
      <c r="E10" s="3" t="s">
        <v>16</v>
      </c>
      <c r="F10" s="12">
        <f>SUMIFS(Parametros!$C$4:$C$12,Parametros!$A$4:$A$12,D10,Parametros!$B$4:$B$12,E10)</f>
        <v>4</v>
      </c>
      <c r="H10" s="11">
        <v>7</v>
      </c>
      <c r="I10" s="11" t="s">
        <v>291</v>
      </c>
      <c r="J10" s="11">
        <v>0.5</v>
      </c>
      <c r="K10" s="11">
        <v>0.5</v>
      </c>
      <c r="L10" s="11">
        <v>0.5</v>
      </c>
      <c r="M10" s="11">
        <f t="shared" si="0"/>
        <v>0.5</v>
      </c>
      <c r="N10" s="11">
        <f>M10*Parametros!$F$20</f>
        <v>4</v>
      </c>
      <c r="O10" s="11">
        <v>6</v>
      </c>
      <c r="P10" s="11" t="s">
        <v>286</v>
      </c>
    </row>
    <row r="11" spans="1:16" ht="27.75" customHeight="1" x14ac:dyDescent="0.3">
      <c r="A11" s="3" t="s">
        <v>50</v>
      </c>
      <c r="B11" s="3" t="s">
        <v>61</v>
      </c>
      <c r="C11" s="3" t="s">
        <v>62</v>
      </c>
      <c r="D11" s="3" t="s">
        <v>20</v>
      </c>
      <c r="E11" s="3" t="s">
        <v>21</v>
      </c>
      <c r="F11" s="12">
        <f>SUMIFS(Parametros!$C$4:$C$12,Parametros!$A$4:$A$12,D11,Parametros!$B$4:$B$12,E11)</f>
        <v>3</v>
      </c>
      <c r="H11" s="11">
        <v>8</v>
      </c>
      <c r="I11" s="11" t="s">
        <v>292</v>
      </c>
      <c r="J11" s="11">
        <v>1</v>
      </c>
      <c r="K11" s="11">
        <v>1.5</v>
      </c>
      <c r="L11" s="11">
        <v>2</v>
      </c>
      <c r="M11" s="11">
        <f t="shared" si="0"/>
        <v>1.5</v>
      </c>
      <c r="N11" s="11">
        <f>M11*Parametros!$F$20</f>
        <v>12</v>
      </c>
      <c r="O11" s="11">
        <v>7</v>
      </c>
      <c r="P11" s="11" t="s">
        <v>286</v>
      </c>
    </row>
    <row r="12" spans="1:16" ht="27.75" customHeight="1" x14ac:dyDescent="0.3">
      <c r="A12" s="3" t="s">
        <v>50</v>
      </c>
      <c r="B12" s="3" t="s">
        <v>63</v>
      </c>
      <c r="C12" s="3" t="s">
        <v>64</v>
      </c>
      <c r="D12" s="3" t="s">
        <v>15</v>
      </c>
      <c r="E12" s="3" t="s">
        <v>21</v>
      </c>
      <c r="F12" s="12">
        <f>SUMIFS(Parametros!$C$4:$C$12,Parametros!$A$4:$A$12,D12,Parametros!$B$4:$B$12,E12)</f>
        <v>3</v>
      </c>
      <c r="H12" s="11">
        <v>9</v>
      </c>
      <c r="I12" s="11" t="s">
        <v>294</v>
      </c>
      <c r="J12" s="11">
        <v>1</v>
      </c>
      <c r="K12" s="11">
        <v>1.5</v>
      </c>
      <c r="L12" s="11">
        <v>2</v>
      </c>
      <c r="M12" s="11">
        <f t="shared" si="0"/>
        <v>1.5</v>
      </c>
      <c r="N12" s="11">
        <f>M12*Parametros!$F$20</f>
        <v>12</v>
      </c>
      <c r="O12" s="11">
        <v>8</v>
      </c>
      <c r="P12" s="11" t="s">
        <v>286</v>
      </c>
    </row>
    <row r="13" spans="1:16" ht="27.75" customHeight="1" x14ac:dyDescent="0.3">
      <c r="A13" s="3" t="s">
        <v>50</v>
      </c>
      <c r="B13" s="3" t="s">
        <v>65</v>
      </c>
      <c r="C13" s="3" t="s">
        <v>66</v>
      </c>
      <c r="D13" s="3" t="s">
        <v>41</v>
      </c>
      <c r="E13" s="3" t="s">
        <v>16</v>
      </c>
      <c r="F13" s="12">
        <f>SUMIFS(Parametros!$C$4:$C$12,Parametros!$A$4:$A$12,D13,Parametros!$B$4:$B$12,E13)</f>
        <v>5</v>
      </c>
      <c r="H13" s="11">
        <v>10</v>
      </c>
      <c r="I13" s="11" t="s">
        <v>295</v>
      </c>
      <c r="J13" s="11">
        <v>0.5</v>
      </c>
      <c r="K13" s="11">
        <v>1</v>
      </c>
      <c r="L13" s="11">
        <v>1.5</v>
      </c>
      <c r="M13" s="11">
        <f t="shared" si="0"/>
        <v>1</v>
      </c>
      <c r="N13" s="11">
        <f>M13*Parametros!$F$20</f>
        <v>8</v>
      </c>
      <c r="O13" s="11">
        <v>9</v>
      </c>
      <c r="P13" s="11" t="s">
        <v>286</v>
      </c>
    </row>
    <row r="14" spans="1:16" ht="27.75" customHeight="1" x14ac:dyDescent="0.3">
      <c r="A14" s="3" t="s">
        <v>50</v>
      </c>
      <c r="B14" s="3" t="s">
        <v>67</v>
      </c>
      <c r="C14" s="3" t="s">
        <v>68</v>
      </c>
      <c r="D14" s="3" t="s">
        <v>15</v>
      </c>
      <c r="E14" s="3" t="s">
        <v>44</v>
      </c>
      <c r="F14" s="12">
        <f>SUMIFS(Parametros!$C$4:$C$12,Parametros!$A$4:$A$12,D14,Parametros!$B$4:$B$12,E14)</f>
        <v>6</v>
      </c>
      <c r="H14" s="11">
        <v>11</v>
      </c>
      <c r="I14" s="11" t="s">
        <v>296</v>
      </c>
      <c r="J14" s="11">
        <v>0.5</v>
      </c>
      <c r="K14" s="11">
        <v>0.5</v>
      </c>
      <c r="L14" s="11">
        <v>0.5</v>
      </c>
      <c r="M14" s="11">
        <f t="shared" si="0"/>
        <v>0.5</v>
      </c>
      <c r="N14" s="11">
        <f>M14*Parametros!$F$20</f>
        <v>4</v>
      </c>
      <c r="O14" s="11">
        <v>10</v>
      </c>
      <c r="P14" s="11" t="s">
        <v>286</v>
      </c>
    </row>
    <row r="15" spans="1:16" ht="15" customHeight="1" x14ac:dyDescent="0.3">
      <c r="A15" s="13"/>
      <c r="B15" s="13"/>
      <c r="C15" s="13" t="s">
        <v>331</v>
      </c>
      <c r="D15" s="13"/>
      <c r="E15" s="13"/>
      <c r="F15" s="14">
        <f>SUM(F6:F14)</f>
        <v>36</v>
      </c>
      <c r="H15" s="11">
        <v>12</v>
      </c>
      <c r="I15" s="11" t="s">
        <v>297</v>
      </c>
      <c r="J15" s="11">
        <v>0.5</v>
      </c>
      <c r="K15" s="11">
        <v>0.5</v>
      </c>
      <c r="L15" s="11">
        <v>0.5</v>
      </c>
      <c r="M15" s="11">
        <f t="shared" si="0"/>
        <v>0.5</v>
      </c>
      <c r="N15" s="11">
        <f>M15*Parametros!$F$20</f>
        <v>4</v>
      </c>
      <c r="O15" s="11">
        <v>11</v>
      </c>
      <c r="P15" s="11" t="s">
        <v>286</v>
      </c>
    </row>
    <row r="16" spans="1:16" ht="15" customHeight="1" x14ac:dyDescent="0.3">
      <c r="A16" s="3" t="s">
        <v>69</v>
      </c>
      <c r="B16" s="3" t="s">
        <v>70</v>
      </c>
      <c r="C16" s="3" t="s">
        <v>71</v>
      </c>
      <c r="D16" s="3" t="s">
        <v>15</v>
      </c>
      <c r="E16" s="3" t="s">
        <v>16</v>
      </c>
      <c r="F16" s="12">
        <f>SUMIFS(Parametros!$C$4:$C$12,Parametros!$A$4:$A$12,D16,Parametros!$B$4:$B$12,E16)</f>
        <v>4</v>
      </c>
      <c r="H16" s="11">
        <v>13</v>
      </c>
      <c r="I16" s="11" t="s">
        <v>298</v>
      </c>
      <c r="J16" s="11">
        <v>0.5</v>
      </c>
      <c r="K16" s="11">
        <v>0.5</v>
      </c>
      <c r="L16" s="11">
        <v>0.5</v>
      </c>
      <c r="M16" s="11">
        <f t="shared" si="0"/>
        <v>0.5</v>
      </c>
      <c r="N16" s="11">
        <f>M16*Parametros!$F$20</f>
        <v>4</v>
      </c>
      <c r="O16" s="11">
        <v>12</v>
      </c>
      <c r="P16" s="11" t="s">
        <v>283</v>
      </c>
    </row>
    <row r="17" spans="1:11" ht="15" customHeight="1" x14ac:dyDescent="0.3">
      <c r="A17" s="3" t="s">
        <v>69</v>
      </c>
      <c r="B17" s="3" t="s">
        <v>72</v>
      </c>
      <c r="C17" s="3" t="s">
        <v>73</v>
      </c>
      <c r="D17" s="3" t="s">
        <v>20</v>
      </c>
      <c r="E17" s="3" t="s">
        <v>21</v>
      </c>
      <c r="F17" s="12">
        <f>SUMIFS(Parametros!$C$4:$C$12,Parametros!$A$4:$A$12,D17,Parametros!$B$4:$B$12,E17)</f>
        <v>3</v>
      </c>
    </row>
    <row r="18" spans="1:11" ht="15" customHeight="1" x14ac:dyDescent="0.3">
      <c r="A18" s="3" t="s">
        <v>69</v>
      </c>
      <c r="B18" s="3" t="s">
        <v>74</v>
      </c>
      <c r="C18" s="3" t="s">
        <v>75</v>
      </c>
      <c r="D18" s="3" t="s">
        <v>15</v>
      </c>
      <c r="E18" s="3" t="s">
        <v>16</v>
      </c>
      <c r="F18" s="12">
        <f>SUMIFS(Parametros!$C$4:$C$12,Parametros!$A$4:$A$12,D18,Parametros!$B$4:$B$12,E18)</f>
        <v>4</v>
      </c>
    </row>
    <row r="19" spans="1:11" ht="15" customHeight="1" x14ac:dyDescent="0.3">
      <c r="A19" s="3" t="s">
        <v>69</v>
      </c>
      <c r="B19" s="3" t="s">
        <v>76</v>
      </c>
      <c r="C19" s="3" t="s">
        <v>77</v>
      </c>
      <c r="D19" s="3" t="s">
        <v>15</v>
      </c>
      <c r="E19" s="3" t="s">
        <v>44</v>
      </c>
      <c r="F19" s="12">
        <f>SUMIFS(Parametros!$C$4:$C$12,Parametros!$A$4:$A$12,D19,Parametros!$B$4:$B$12,E19)</f>
        <v>6</v>
      </c>
    </row>
    <row r="20" spans="1:11" ht="15" customHeight="1" x14ac:dyDescent="0.3">
      <c r="A20" s="3" t="s">
        <v>69</v>
      </c>
      <c r="B20" s="3" t="s">
        <v>78</v>
      </c>
      <c r="C20" s="3" t="s">
        <v>79</v>
      </c>
      <c r="D20" s="3" t="s">
        <v>15</v>
      </c>
      <c r="E20" s="3" t="s">
        <v>21</v>
      </c>
      <c r="F20" s="12">
        <f>SUMIFS(Parametros!$C$4:$C$12,Parametros!$A$4:$A$12,D20,Parametros!$B$4:$B$12,E20)</f>
        <v>3</v>
      </c>
    </row>
    <row r="21" spans="1:11" ht="15" customHeight="1" x14ac:dyDescent="0.3">
      <c r="A21" s="3" t="s">
        <v>69</v>
      </c>
      <c r="B21" s="3" t="s">
        <v>80</v>
      </c>
      <c r="C21" s="3" t="s">
        <v>81</v>
      </c>
      <c r="D21" s="3" t="s">
        <v>15</v>
      </c>
      <c r="E21" s="3" t="s">
        <v>21</v>
      </c>
      <c r="F21" s="12">
        <f>SUMIFS(Parametros!$C$4:$C$12,Parametros!$A$4:$A$12,D21,Parametros!$B$4:$B$12,E21)</f>
        <v>3</v>
      </c>
    </row>
    <row r="22" spans="1:11" ht="15" customHeight="1" x14ac:dyDescent="0.3">
      <c r="A22" s="13"/>
      <c r="B22" s="13"/>
      <c r="C22" s="13" t="s">
        <v>332</v>
      </c>
      <c r="D22" s="13"/>
      <c r="E22" s="13"/>
      <c r="F22" s="14">
        <f>SUM(F16:F21)</f>
        <v>23</v>
      </c>
    </row>
    <row r="25" spans="1:11" ht="15" customHeight="1" x14ac:dyDescent="0.3">
      <c r="A25" s="15" t="s">
        <v>300</v>
      </c>
      <c r="H25" s="15" t="s">
        <v>301</v>
      </c>
    </row>
    <row r="26" spans="1:11" ht="15" customHeight="1" x14ac:dyDescent="0.3">
      <c r="A26" s="16" t="s">
        <v>302</v>
      </c>
      <c r="B26" s="16" t="s">
        <v>21</v>
      </c>
      <c r="C26" s="16" t="s">
        <v>16</v>
      </c>
      <c r="D26" s="16" t="s">
        <v>44</v>
      </c>
      <c r="E26" s="16" t="s">
        <v>8</v>
      </c>
      <c r="H26" s="16" t="s">
        <v>273</v>
      </c>
      <c r="I26" s="16" t="s">
        <v>303</v>
      </c>
      <c r="J26" s="16" t="s">
        <v>7</v>
      </c>
      <c r="K26" s="16" t="s">
        <v>8</v>
      </c>
    </row>
    <row r="27" spans="1:11" ht="15" customHeight="1" x14ac:dyDescent="0.3">
      <c r="A27" s="3" t="s">
        <v>304</v>
      </c>
      <c r="B27" s="12">
        <f>COUNTIFS($D$6:$D$22,"EI",$E$6:$E$22,"Baja")</f>
        <v>3</v>
      </c>
      <c r="C27" s="12">
        <f>COUNTIFS($D$6:$D$22,"EI",$E$6:$E$22,"Media")</f>
        <v>6</v>
      </c>
      <c r="D27" s="12">
        <f>COUNTIFS($D$6:$D$22,"EI",$E$6:$E$22,"Alta")</f>
        <v>2</v>
      </c>
      <c r="E27" s="12">
        <f>SUMIFS($F$6:$F$22,$D$6:$D$22,"EI")</f>
        <v>45</v>
      </c>
      <c r="H27" s="3" t="s">
        <v>333</v>
      </c>
      <c r="I27" s="3" t="s">
        <v>334</v>
      </c>
      <c r="J27" s="3" t="s">
        <v>16</v>
      </c>
      <c r="K27" s="12">
        <f>IF(J27="Baja",7,IF(J27="Media",10,15))</f>
        <v>10</v>
      </c>
    </row>
    <row r="28" spans="1:11" ht="15" customHeight="1" x14ac:dyDescent="0.3">
      <c r="A28" s="3" t="s">
        <v>307</v>
      </c>
      <c r="B28" s="12">
        <f>COUNTIFS($D$6:$D$22,"EO",$E$6:$E$22,"Baja")</f>
        <v>0</v>
      </c>
      <c r="C28" s="12">
        <f>COUNTIFS($D$6:$D$22,"EO",$E$6:$E$22,"Media")</f>
        <v>1</v>
      </c>
      <c r="D28" s="12">
        <f>COUNTIFS($D$6:$D$22,"EO",$E$6:$E$22,"Alta")</f>
        <v>0</v>
      </c>
      <c r="E28" s="12">
        <f>SUMIFS($F$6:$F$22,$D$6:$D$22,"EO")</f>
        <v>5</v>
      </c>
      <c r="H28" s="3" t="s">
        <v>335</v>
      </c>
      <c r="I28" s="3" t="s">
        <v>336</v>
      </c>
      <c r="J28" s="3" t="s">
        <v>44</v>
      </c>
      <c r="K28" s="12">
        <f>IF(J28="Baja",7,IF(J28="Media",10,15))</f>
        <v>15</v>
      </c>
    </row>
    <row r="29" spans="1:11" ht="15" customHeight="1" x14ac:dyDescent="0.3">
      <c r="A29" s="3" t="s">
        <v>310</v>
      </c>
      <c r="B29" s="12">
        <f>COUNTIFS($D$6:$D$22,"EQ",$E$6:$E$22,"Baja")</f>
        <v>3</v>
      </c>
      <c r="C29" s="12">
        <f>COUNTIFS($D$6:$D$22,"EQ",$E$6:$E$22,"Media")</f>
        <v>0</v>
      </c>
      <c r="D29" s="12">
        <f>COUNTIFS($D$6:$D$22,"EQ",$E$6:$E$22,"Alta")</f>
        <v>0</v>
      </c>
      <c r="E29" s="12">
        <f>SUMIFS($F$6:$F$22,$D$6:$D$22,"EQ")</f>
        <v>9</v>
      </c>
      <c r="H29" s="3" t="s">
        <v>337</v>
      </c>
      <c r="I29" s="3" t="s">
        <v>338</v>
      </c>
      <c r="J29" s="3" t="s">
        <v>16</v>
      </c>
      <c r="K29" s="12">
        <f>IF(J29="Baja",7,IF(J29="Media",10,15))</f>
        <v>10</v>
      </c>
    </row>
    <row r="30" spans="1:11" ht="15" customHeight="1" x14ac:dyDescent="0.3">
      <c r="A30" s="17" t="s">
        <v>313</v>
      </c>
      <c r="B30" s="17"/>
      <c r="C30" s="17"/>
      <c r="D30" s="17"/>
      <c r="E30" s="12">
        <f>SUM(E27:E29)</f>
        <v>59</v>
      </c>
      <c r="H30" s="3" t="s">
        <v>339</v>
      </c>
      <c r="I30" s="3" t="s">
        <v>340</v>
      </c>
      <c r="J30" s="3" t="s">
        <v>44</v>
      </c>
      <c r="K30" s="12">
        <f>IF(J30="Baja",7,IF(J30="Media",10,15))</f>
        <v>15</v>
      </c>
    </row>
    <row r="31" spans="1:11" ht="15" customHeight="1" x14ac:dyDescent="0.3">
      <c r="H31" s="17"/>
      <c r="I31" s="17"/>
      <c r="J31" s="17" t="s">
        <v>316</v>
      </c>
      <c r="K31" s="12">
        <f>SUM(K27:K30)</f>
        <v>50</v>
      </c>
    </row>
    <row r="34" spans="1:2" ht="15" customHeight="1" x14ac:dyDescent="0.3">
      <c r="A34" s="15" t="s">
        <v>317</v>
      </c>
    </row>
    <row r="35" spans="1:2" ht="15" customHeight="1" x14ac:dyDescent="0.3">
      <c r="A35" s="3" t="s">
        <v>313</v>
      </c>
      <c r="B35" s="12">
        <f>E30</f>
        <v>59</v>
      </c>
    </row>
    <row r="36" spans="1:2" ht="15" customHeight="1" x14ac:dyDescent="0.3">
      <c r="A36" s="3" t="s">
        <v>318</v>
      </c>
      <c r="B36" s="12">
        <f>K31</f>
        <v>50</v>
      </c>
    </row>
    <row r="37" spans="1:2" ht="15" customHeight="1" x14ac:dyDescent="0.3">
      <c r="A37" s="3" t="s">
        <v>319</v>
      </c>
      <c r="B37" s="12">
        <f>B35+B36</f>
        <v>109</v>
      </c>
    </row>
    <row r="38" spans="1:2" ht="15" customHeight="1" x14ac:dyDescent="0.3">
      <c r="A38" s="3" t="s">
        <v>206</v>
      </c>
      <c r="B38" s="12">
        <f>Parametros!$F$4</f>
        <v>1.08</v>
      </c>
    </row>
    <row r="39" spans="1:2" ht="15" customHeight="1" x14ac:dyDescent="0.3">
      <c r="A39" s="3" t="s">
        <v>320</v>
      </c>
      <c r="B39" s="12">
        <f>B37*B38</f>
        <v>117.72000000000001</v>
      </c>
    </row>
    <row r="40" spans="1:2" ht="15" customHeight="1" x14ac:dyDescent="0.3">
      <c r="A40" s="3" t="s">
        <v>209</v>
      </c>
      <c r="B40" s="12">
        <f>Parametros!$F$6</f>
        <v>20</v>
      </c>
    </row>
    <row r="41" spans="1:2" ht="15" customHeight="1" x14ac:dyDescent="0.3">
      <c r="A41" s="3" t="s">
        <v>321</v>
      </c>
      <c r="B41" s="12">
        <f>B39*B40</f>
        <v>2354.4</v>
      </c>
    </row>
    <row r="42" spans="1:2" ht="15" customHeight="1" x14ac:dyDescent="0.3">
      <c r="A42" s="3" t="s">
        <v>322</v>
      </c>
      <c r="B42" s="12">
        <f>B41/1000</f>
        <v>2.3544</v>
      </c>
    </row>
    <row r="44" spans="1:2" ht="15" customHeight="1" x14ac:dyDescent="0.3">
      <c r="A44" s="18" t="s">
        <v>323</v>
      </c>
    </row>
    <row r="45" spans="1:2" ht="15" customHeight="1" x14ac:dyDescent="0.3">
      <c r="A45" t="s">
        <v>324</v>
      </c>
      <c r="B45">
        <f>B39</f>
        <v>117.72000000000001</v>
      </c>
    </row>
    <row r="46" spans="1:2" ht="15" customHeight="1" x14ac:dyDescent="0.3">
      <c r="A46" t="s">
        <v>325</v>
      </c>
      <c r="B46">
        <f>Parametros!$F$19</f>
        <v>6</v>
      </c>
    </row>
    <row r="47" spans="1:2" ht="15" customHeight="1" x14ac:dyDescent="0.3">
      <c r="A47" t="s">
        <v>326</v>
      </c>
      <c r="B47">
        <f>B45*B46</f>
        <v>706.32</v>
      </c>
    </row>
    <row r="48" spans="1:2" ht="15" customHeight="1" x14ac:dyDescent="0.3">
      <c r="A48" t="s">
        <v>327</v>
      </c>
      <c r="B48">
        <f>B47*Parametros!$F$26</f>
        <v>282.52800000000002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8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27" customWidth="1"/>
    <col min="2" max="2" width="13" customWidth="1"/>
    <col min="3" max="3" width="55" customWidth="1"/>
    <col min="4" max="4" width="12" customWidth="1"/>
    <col min="5" max="5" width="14" customWidth="1"/>
    <col min="6" max="6" width="12" customWidth="1"/>
    <col min="8" max="8" width="7" customWidth="1"/>
    <col min="9" max="9" width="60" customWidth="1"/>
    <col min="10" max="12" width="8" customWidth="1"/>
    <col min="13" max="13" width="10" customWidth="1"/>
    <col min="14" max="14" width="11" customWidth="1"/>
    <col min="15" max="15" width="12" customWidth="1"/>
    <col min="16" max="16" width="25" customWidth="1"/>
  </cols>
  <sheetData>
    <row r="1" spans="1:16" ht="17.25" customHeight="1" x14ac:dyDescent="0.3">
      <c r="A1" s="1" t="s">
        <v>341</v>
      </c>
    </row>
    <row r="2" spans="1:16" ht="15" customHeight="1" x14ac:dyDescent="0.3">
      <c r="H2" s="8" t="s">
        <v>268</v>
      </c>
    </row>
    <row r="3" spans="1:16" ht="108.75" customHeight="1" x14ac:dyDescent="0.3">
      <c r="A3" t="s">
        <v>269</v>
      </c>
      <c r="B3" t="s">
        <v>342</v>
      </c>
      <c r="C3" t="s">
        <v>271</v>
      </c>
      <c r="D3">
        <v>10</v>
      </c>
      <c r="E3" s="9" t="s">
        <v>343</v>
      </c>
      <c r="H3" s="10" t="s">
        <v>273</v>
      </c>
      <c r="I3" s="10" t="s">
        <v>274</v>
      </c>
      <c r="J3" s="10" t="s">
        <v>275</v>
      </c>
      <c r="K3" s="10" t="s">
        <v>276</v>
      </c>
      <c r="L3" s="10" t="s">
        <v>277</v>
      </c>
      <c r="M3" s="10" t="s">
        <v>278</v>
      </c>
      <c r="N3" s="10" t="s">
        <v>279</v>
      </c>
      <c r="O3" s="10" t="s">
        <v>280</v>
      </c>
      <c r="P3" s="10" t="s">
        <v>281</v>
      </c>
    </row>
    <row r="4" spans="1:16" ht="15" customHeight="1" x14ac:dyDescent="0.3">
      <c r="H4" s="11">
        <v>1</v>
      </c>
      <c r="I4" s="11" t="s">
        <v>282</v>
      </c>
      <c r="J4" s="11">
        <v>0.5</v>
      </c>
      <c r="K4" s="11">
        <v>0.5</v>
      </c>
      <c r="L4" s="11">
        <v>0.5</v>
      </c>
      <c r="M4" s="11">
        <f t="shared" ref="M4:M16" si="0">(J4+4*K4+L4)/6</f>
        <v>0.5</v>
      </c>
      <c r="N4" s="11">
        <f>M4*Parametros!$F$20</f>
        <v>4</v>
      </c>
      <c r="O4" s="11"/>
      <c r="P4" s="11" t="s">
        <v>283</v>
      </c>
    </row>
    <row r="5" spans="1:16" ht="15" customHeight="1" x14ac:dyDescent="0.3">
      <c r="A5" s="2" t="s">
        <v>3</v>
      </c>
      <c r="B5" s="2" t="s">
        <v>273</v>
      </c>
      <c r="C5" s="2" t="s">
        <v>284</v>
      </c>
      <c r="D5" s="2" t="s">
        <v>6</v>
      </c>
      <c r="E5" s="2" t="s">
        <v>7</v>
      </c>
      <c r="F5" s="2" t="s">
        <v>8</v>
      </c>
      <c r="H5" s="11">
        <v>2</v>
      </c>
      <c r="I5" s="11" t="s">
        <v>285</v>
      </c>
      <c r="J5" s="11">
        <v>0.5</v>
      </c>
      <c r="K5" s="11">
        <v>1</v>
      </c>
      <c r="L5" s="11">
        <v>1.5</v>
      </c>
      <c r="M5" s="11">
        <f t="shared" si="0"/>
        <v>1</v>
      </c>
      <c r="N5" s="11">
        <f>M5*Parametros!$F$20</f>
        <v>8</v>
      </c>
      <c r="O5" s="11">
        <v>1</v>
      </c>
      <c r="P5" s="11" t="s">
        <v>286</v>
      </c>
    </row>
    <row r="6" spans="1:16" ht="27.75" customHeight="1" x14ac:dyDescent="0.3">
      <c r="A6" s="3" t="s">
        <v>83</v>
      </c>
      <c r="B6" s="3" t="s">
        <v>84</v>
      </c>
      <c r="C6" s="3" t="s">
        <v>85</v>
      </c>
      <c r="D6" s="3" t="s">
        <v>15</v>
      </c>
      <c r="E6" s="3" t="s">
        <v>44</v>
      </c>
      <c r="F6" s="12">
        <f>SUMIFS(Parametros!$C$4:$C$12,Parametros!$A$4:$A$12,D6,Parametros!$B$4:$B$12,E6)</f>
        <v>6</v>
      </c>
      <c r="H6" s="11">
        <v>3</v>
      </c>
      <c r="I6" s="11" t="s">
        <v>287</v>
      </c>
      <c r="J6" s="11">
        <v>0.5</v>
      </c>
      <c r="K6" s="11">
        <v>1</v>
      </c>
      <c r="L6" s="11">
        <v>1.5</v>
      </c>
      <c r="M6" s="11">
        <f t="shared" si="0"/>
        <v>1</v>
      </c>
      <c r="N6" s="11">
        <f>M6*Parametros!$F$20</f>
        <v>8</v>
      </c>
      <c r="O6" s="11">
        <v>2</v>
      </c>
      <c r="P6" s="11" t="s">
        <v>286</v>
      </c>
    </row>
    <row r="7" spans="1:16" ht="27.75" customHeight="1" x14ac:dyDescent="0.3">
      <c r="A7" s="3" t="s">
        <v>83</v>
      </c>
      <c r="B7" s="3" t="s">
        <v>88</v>
      </c>
      <c r="C7" s="3" t="s">
        <v>89</v>
      </c>
      <c r="D7" s="3" t="s">
        <v>15</v>
      </c>
      <c r="E7" s="3" t="s">
        <v>16</v>
      </c>
      <c r="F7" s="12">
        <f>SUMIFS(Parametros!$C$4:$C$12,Parametros!$A$4:$A$12,D7,Parametros!$B$4:$B$12,E7)</f>
        <v>4</v>
      </c>
      <c r="H7" s="11">
        <v>4</v>
      </c>
      <c r="I7" s="11" t="s">
        <v>288</v>
      </c>
      <c r="J7" s="11">
        <v>0.5</v>
      </c>
      <c r="K7" s="11">
        <v>0.5</v>
      </c>
      <c r="L7" s="11">
        <v>0.5</v>
      </c>
      <c r="M7" s="11">
        <f t="shared" si="0"/>
        <v>0.5</v>
      </c>
      <c r="N7" s="11">
        <f>M7*Parametros!$F$20</f>
        <v>4</v>
      </c>
      <c r="O7" s="11">
        <v>3</v>
      </c>
      <c r="P7" s="11" t="s">
        <v>286</v>
      </c>
    </row>
    <row r="8" spans="1:16" ht="27.75" customHeight="1" x14ac:dyDescent="0.3">
      <c r="A8" s="3" t="s">
        <v>83</v>
      </c>
      <c r="B8" s="3" t="s">
        <v>90</v>
      </c>
      <c r="C8" s="3" t="s">
        <v>91</v>
      </c>
      <c r="D8" s="3" t="s">
        <v>15</v>
      </c>
      <c r="E8" s="3" t="s">
        <v>44</v>
      </c>
      <c r="F8" s="12">
        <f>SUMIFS(Parametros!$C$4:$C$12,Parametros!$A$4:$A$12,D8,Parametros!$B$4:$B$12,E8)</f>
        <v>6</v>
      </c>
      <c r="H8" s="11">
        <v>5</v>
      </c>
      <c r="I8" s="11" t="s">
        <v>289</v>
      </c>
      <c r="J8" s="11">
        <v>0.5</v>
      </c>
      <c r="K8" s="11">
        <v>0.5</v>
      </c>
      <c r="L8" s="11">
        <v>0.5</v>
      </c>
      <c r="M8" s="11">
        <f t="shared" si="0"/>
        <v>0.5</v>
      </c>
      <c r="N8" s="11">
        <f>M8*Parametros!$F$20</f>
        <v>4</v>
      </c>
      <c r="O8" s="11">
        <v>4</v>
      </c>
      <c r="P8" s="11" t="s">
        <v>286</v>
      </c>
    </row>
    <row r="9" spans="1:16" ht="27.75" customHeight="1" x14ac:dyDescent="0.3">
      <c r="A9" s="3" t="s">
        <v>83</v>
      </c>
      <c r="B9" s="3" t="s">
        <v>92</v>
      </c>
      <c r="C9" s="3" t="s">
        <v>93</v>
      </c>
      <c r="D9" s="3" t="s">
        <v>15</v>
      </c>
      <c r="E9" s="3" t="s">
        <v>16</v>
      </c>
      <c r="F9" s="12">
        <f>SUMIFS(Parametros!$C$4:$C$12,Parametros!$A$4:$A$12,D9,Parametros!$B$4:$B$12,E9)</f>
        <v>4</v>
      </c>
      <c r="H9" s="11">
        <v>6</v>
      </c>
      <c r="I9" s="11" t="s">
        <v>290</v>
      </c>
      <c r="J9" s="11">
        <v>0.5</v>
      </c>
      <c r="K9" s="11">
        <v>0.5</v>
      </c>
      <c r="L9" s="11">
        <v>0.5</v>
      </c>
      <c r="M9" s="11">
        <f t="shared" si="0"/>
        <v>0.5</v>
      </c>
      <c r="N9" s="11">
        <f>M9*Parametros!$F$20</f>
        <v>4</v>
      </c>
      <c r="O9" s="11">
        <v>5</v>
      </c>
      <c r="P9" s="11" t="s">
        <v>286</v>
      </c>
    </row>
    <row r="10" spans="1:16" ht="27.75" customHeight="1" x14ac:dyDescent="0.3">
      <c r="A10" s="3" t="s">
        <v>83</v>
      </c>
      <c r="B10" s="3" t="s">
        <v>94</v>
      </c>
      <c r="C10" s="3" t="s">
        <v>95</v>
      </c>
      <c r="D10" s="3" t="s">
        <v>20</v>
      </c>
      <c r="E10" s="3" t="s">
        <v>16</v>
      </c>
      <c r="F10" s="12">
        <f>SUMIFS(Parametros!$C$4:$C$12,Parametros!$A$4:$A$12,D10,Parametros!$B$4:$B$12,E10)</f>
        <v>4</v>
      </c>
      <c r="H10" s="11">
        <v>7</v>
      </c>
      <c r="I10" s="11" t="s">
        <v>291</v>
      </c>
      <c r="J10" s="11">
        <v>0.5</v>
      </c>
      <c r="K10" s="11">
        <v>0.5</v>
      </c>
      <c r="L10" s="11">
        <v>0.5</v>
      </c>
      <c r="M10" s="11">
        <f t="shared" si="0"/>
        <v>0.5</v>
      </c>
      <c r="N10" s="11">
        <f>M10*Parametros!$F$20</f>
        <v>4</v>
      </c>
      <c r="O10" s="11">
        <v>6</v>
      </c>
      <c r="P10" s="11" t="s">
        <v>286</v>
      </c>
    </row>
    <row r="11" spans="1:16" ht="27.75" customHeight="1" x14ac:dyDescent="0.3">
      <c r="A11" s="3" t="s">
        <v>83</v>
      </c>
      <c r="B11" s="3" t="s">
        <v>96</v>
      </c>
      <c r="C11" s="3" t="s">
        <v>97</v>
      </c>
      <c r="D11" s="3" t="s">
        <v>20</v>
      </c>
      <c r="E11" s="3" t="s">
        <v>44</v>
      </c>
      <c r="F11" s="12">
        <f>SUMIFS(Parametros!$C$4:$C$12,Parametros!$A$4:$A$12,D11,Parametros!$B$4:$B$12,E11)</f>
        <v>6</v>
      </c>
      <c r="H11" s="11">
        <v>8</v>
      </c>
      <c r="I11" s="11" t="s">
        <v>292</v>
      </c>
      <c r="J11" s="11">
        <v>1</v>
      </c>
      <c r="K11" s="11">
        <v>1.5</v>
      </c>
      <c r="L11" s="11">
        <v>2</v>
      </c>
      <c r="M11" s="11">
        <f t="shared" si="0"/>
        <v>1.5</v>
      </c>
      <c r="N11" s="11">
        <f>M11*Parametros!$F$20</f>
        <v>12</v>
      </c>
      <c r="O11" s="11">
        <v>7</v>
      </c>
      <c r="P11" s="11" t="s">
        <v>286</v>
      </c>
    </row>
    <row r="12" spans="1:16" ht="27.75" customHeight="1" x14ac:dyDescent="0.3">
      <c r="A12" s="3" t="s">
        <v>83</v>
      </c>
      <c r="B12" s="3" t="s">
        <v>98</v>
      </c>
      <c r="C12" s="3" t="s">
        <v>99</v>
      </c>
      <c r="D12" s="3" t="s">
        <v>15</v>
      </c>
      <c r="E12" s="3" t="s">
        <v>16</v>
      </c>
      <c r="F12" s="12">
        <f>SUMIFS(Parametros!$C$4:$C$12,Parametros!$A$4:$A$12,D12,Parametros!$B$4:$B$12,E12)</f>
        <v>4</v>
      </c>
      <c r="H12" s="11">
        <v>9</v>
      </c>
      <c r="I12" s="11" t="s">
        <v>294</v>
      </c>
      <c r="J12" s="11">
        <v>1</v>
      </c>
      <c r="K12" s="11">
        <v>1.5</v>
      </c>
      <c r="L12" s="11">
        <v>2</v>
      </c>
      <c r="M12" s="11">
        <f t="shared" si="0"/>
        <v>1.5</v>
      </c>
      <c r="N12" s="11">
        <f>M12*Parametros!$F$20</f>
        <v>12</v>
      </c>
      <c r="O12" s="11">
        <v>8</v>
      </c>
      <c r="P12" s="11" t="s">
        <v>286</v>
      </c>
    </row>
    <row r="13" spans="1:16" ht="27.75" customHeight="1" x14ac:dyDescent="0.3">
      <c r="A13" s="3" t="s">
        <v>83</v>
      </c>
      <c r="B13" s="3" t="s">
        <v>100</v>
      </c>
      <c r="C13" s="3" t="s">
        <v>101</v>
      </c>
      <c r="D13" s="3" t="s">
        <v>41</v>
      </c>
      <c r="E13" s="3" t="s">
        <v>16</v>
      </c>
      <c r="F13" s="12">
        <f>SUMIFS(Parametros!$C$4:$C$12,Parametros!$A$4:$A$12,D13,Parametros!$B$4:$B$12,E13)</f>
        <v>5</v>
      </c>
      <c r="H13" s="11">
        <v>10</v>
      </c>
      <c r="I13" s="11" t="s">
        <v>295</v>
      </c>
      <c r="J13" s="11">
        <v>0.5</v>
      </c>
      <c r="K13" s="11">
        <v>1</v>
      </c>
      <c r="L13" s="11">
        <v>1.5</v>
      </c>
      <c r="M13" s="11">
        <f t="shared" si="0"/>
        <v>1</v>
      </c>
      <c r="N13" s="11">
        <f>M13*Parametros!$F$20</f>
        <v>8</v>
      </c>
      <c r="O13" s="11">
        <v>9</v>
      </c>
      <c r="P13" s="11" t="s">
        <v>286</v>
      </c>
    </row>
    <row r="14" spans="1:16" ht="27.75" customHeight="1" x14ac:dyDescent="0.3">
      <c r="A14" s="3" t="s">
        <v>83</v>
      </c>
      <c r="B14" s="3" t="s">
        <v>102</v>
      </c>
      <c r="C14" s="3" t="s">
        <v>103</v>
      </c>
      <c r="D14" s="3" t="s">
        <v>20</v>
      </c>
      <c r="E14" s="3" t="s">
        <v>21</v>
      </c>
      <c r="F14" s="12">
        <f>SUMIFS(Parametros!$C$4:$C$12,Parametros!$A$4:$A$12,D14,Parametros!$B$4:$B$12,E14)</f>
        <v>3</v>
      </c>
      <c r="H14" s="11">
        <v>11</v>
      </c>
      <c r="I14" s="11" t="s">
        <v>296</v>
      </c>
      <c r="J14" s="11">
        <v>0.5</v>
      </c>
      <c r="K14" s="11">
        <v>0.5</v>
      </c>
      <c r="L14" s="11">
        <v>0.5</v>
      </c>
      <c r="M14" s="11">
        <f t="shared" si="0"/>
        <v>0.5</v>
      </c>
      <c r="N14" s="11">
        <f>M14*Parametros!$F$20</f>
        <v>4</v>
      </c>
      <c r="O14" s="11">
        <v>10</v>
      </c>
      <c r="P14" s="11" t="s">
        <v>286</v>
      </c>
    </row>
    <row r="15" spans="1:16" ht="15" customHeight="1" x14ac:dyDescent="0.3">
      <c r="A15" s="13"/>
      <c r="B15" s="13"/>
      <c r="C15" s="13" t="s">
        <v>344</v>
      </c>
      <c r="D15" s="13"/>
      <c r="E15" s="13"/>
      <c r="F15" s="14">
        <f>SUM(F6:F14)</f>
        <v>42</v>
      </c>
      <c r="H15" s="11">
        <v>12</v>
      </c>
      <c r="I15" s="11" t="s">
        <v>297</v>
      </c>
      <c r="J15" s="11">
        <v>0.5</v>
      </c>
      <c r="K15" s="11">
        <v>0.5</v>
      </c>
      <c r="L15" s="11">
        <v>0.5</v>
      </c>
      <c r="M15" s="11">
        <f t="shared" si="0"/>
        <v>0.5</v>
      </c>
      <c r="N15" s="11">
        <f>M15*Parametros!$F$20</f>
        <v>4</v>
      </c>
      <c r="O15" s="11">
        <v>11</v>
      </c>
      <c r="P15" s="11" t="s">
        <v>286</v>
      </c>
    </row>
    <row r="16" spans="1:16" ht="15" customHeight="1" x14ac:dyDescent="0.3">
      <c r="A16" s="3" t="s">
        <v>104</v>
      </c>
      <c r="B16" s="3" t="s">
        <v>105</v>
      </c>
      <c r="C16" s="3" t="s">
        <v>106</v>
      </c>
      <c r="D16" s="3" t="s">
        <v>15</v>
      </c>
      <c r="E16" s="3" t="s">
        <v>16</v>
      </c>
      <c r="F16" s="12">
        <f>SUMIFS(Parametros!$C$4:$C$12,Parametros!$A$4:$A$12,D16,Parametros!$B$4:$B$12,E16)</f>
        <v>4</v>
      </c>
      <c r="H16" s="11">
        <v>13</v>
      </c>
      <c r="I16" s="11" t="s">
        <v>298</v>
      </c>
      <c r="J16" s="11">
        <v>0.5</v>
      </c>
      <c r="K16" s="11">
        <v>0.5</v>
      </c>
      <c r="L16" s="11">
        <v>0.5</v>
      </c>
      <c r="M16" s="11">
        <f t="shared" si="0"/>
        <v>0.5</v>
      </c>
      <c r="N16" s="11">
        <f>M16*Parametros!$F$20</f>
        <v>4</v>
      </c>
      <c r="O16" s="11">
        <v>12</v>
      </c>
      <c r="P16" s="11" t="s">
        <v>283</v>
      </c>
    </row>
    <row r="17" spans="1:11" ht="15" customHeight="1" x14ac:dyDescent="0.3">
      <c r="A17" s="3" t="s">
        <v>104</v>
      </c>
      <c r="B17" s="3" t="s">
        <v>107</v>
      </c>
      <c r="C17" s="3" t="s">
        <v>108</v>
      </c>
      <c r="D17" s="3" t="s">
        <v>20</v>
      </c>
      <c r="E17" s="3" t="s">
        <v>21</v>
      </c>
      <c r="F17" s="12">
        <f>SUMIFS(Parametros!$C$4:$C$12,Parametros!$A$4:$A$12,D17,Parametros!$B$4:$B$12,E17)</f>
        <v>3</v>
      </c>
    </row>
    <row r="18" spans="1:11" ht="15" customHeight="1" x14ac:dyDescent="0.3">
      <c r="A18" s="3" t="s">
        <v>104</v>
      </c>
      <c r="B18" s="3" t="s">
        <v>109</v>
      </c>
      <c r="C18" s="3" t="s">
        <v>110</v>
      </c>
      <c r="D18" s="3" t="s">
        <v>20</v>
      </c>
      <c r="E18" s="3" t="s">
        <v>16</v>
      </c>
      <c r="F18" s="12">
        <f>SUMIFS(Parametros!$C$4:$C$12,Parametros!$A$4:$A$12,D18,Parametros!$B$4:$B$12,E18)</f>
        <v>4</v>
      </c>
    </row>
    <row r="19" spans="1:11" ht="15" customHeight="1" x14ac:dyDescent="0.3">
      <c r="A19" s="3" t="s">
        <v>104</v>
      </c>
      <c r="B19" s="3" t="s">
        <v>111</v>
      </c>
      <c r="C19" s="3" t="s">
        <v>112</v>
      </c>
      <c r="D19" s="3" t="s">
        <v>15</v>
      </c>
      <c r="E19" s="3" t="s">
        <v>16</v>
      </c>
      <c r="F19" s="12">
        <f>SUMIFS(Parametros!$C$4:$C$12,Parametros!$A$4:$A$12,D19,Parametros!$B$4:$B$12,E19)</f>
        <v>4</v>
      </c>
    </row>
    <row r="20" spans="1:11" ht="15" customHeight="1" x14ac:dyDescent="0.3">
      <c r="A20" s="3" t="s">
        <v>104</v>
      </c>
      <c r="B20" s="3" t="s">
        <v>113</v>
      </c>
      <c r="C20" s="3" t="s">
        <v>114</v>
      </c>
      <c r="D20" s="3" t="s">
        <v>15</v>
      </c>
      <c r="E20" s="3" t="s">
        <v>21</v>
      </c>
      <c r="F20" s="12">
        <f>SUMIFS(Parametros!$C$4:$C$12,Parametros!$A$4:$A$12,D20,Parametros!$B$4:$B$12,E20)</f>
        <v>3</v>
      </c>
    </row>
    <row r="21" spans="1:11" ht="15" customHeight="1" x14ac:dyDescent="0.3">
      <c r="A21" s="3" t="s">
        <v>104</v>
      </c>
      <c r="B21" s="3" t="s">
        <v>115</v>
      </c>
      <c r="C21" s="3" t="s">
        <v>116</v>
      </c>
      <c r="D21" s="3" t="s">
        <v>15</v>
      </c>
      <c r="E21" s="3" t="s">
        <v>21</v>
      </c>
      <c r="F21" s="12">
        <f>SUMIFS(Parametros!$C$4:$C$12,Parametros!$A$4:$A$12,D21,Parametros!$B$4:$B$12,E21)</f>
        <v>3</v>
      </c>
    </row>
    <row r="22" spans="1:11" ht="15" customHeight="1" x14ac:dyDescent="0.3">
      <c r="A22" s="3" t="s">
        <v>104</v>
      </c>
      <c r="B22" s="3" t="s">
        <v>117</v>
      </c>
      <c r="C22" s="3" t="s">
        <v>118</v>
      </c>
      <c r="D22" s="3" t="s">
        <v>41</v>
      </c>
      <c r="E22" s="3" t="s">
        <v>16</v>
      </c>
      <c r="F22" s="12">
        <f>SUMIFS(Parametros!$C$4:$C$12,Parametros!$A$4:$A$12,D22,Parametros!$B$4:$B$12,E22)</f>
        <v>5</v>
      </c>
    </row>
    <row r="23" spans="1:11" ht="15" customHeight="1" x14ac:dyDescent="0.3">
      <c r="A23" s="13"/>
      <c r="B23" s="13"/>
      <c r="C23" s="13" t="s">
        <v>345</v>
      </c>
      <c r="D23" s="13"/>
      <c r="E23" s="13"/>
      <c r="F23" s="14">
        <f>SUM(F16:F22)</f>
        <v>26</v>
      </c>
    </row>
    <row r="26" spans="1:11" ht="15" customHeight="1" x14ac:dyDescent="0.3">
      <c r="A26" s="15" t="s">
        <v>300</v>
      </c>
      <c r="H26" s="15" t="s">
        <v>301</v>
      </c>
    </row>
    <row r="27" spans="1:11" ht="15" customHeight="1" x14ac:dyDescent="0.3">
      <c r="A27" s="16" t="s">
        <v>302</v>
      </c>
      <c r="B27" s="16" t="s">
        <v>21</v>
      </c>
      <c r="C27" s="16" t="s">
        <v>16</v>
      </c>
      <c r="D27" s="16" t="s">
        <v>44</v>
      </c>
      <c r="E27" s="16" t="s">
        <v>8</v>
      </c>
      <c r="H27" s="16" t="s">
        <v>273</v>
      </c>
      <c r="I27" s="16" t="s">
        <v>303</v>
      </c>
      <c r="J27" s="16" t="s">
        <v>7</v>
      </c>
      <c r="K27" s="16" t="s">
        <v>8</v>
      </c>
    </row>
    <row r="28" spans="1:11" ht="15" customHeight="1" x14ac:dyDescent="0.3">
      <c r="A28" s="3" t="s">
        <v>304</v>
      </c>
      <c r="B28" s="12">
        <f>COUNTIFS($D$6:$D$23,"EI",$E$6:$E$23,"Baja")</f>
        <v>2</v>
      </c>
      <c r="C28" s="12">
        <f>COUNTIFS($D$6:$D$23,"EI",$E$6:$E$23,"Media")</f>
        <v>5</v>
      </c>
      <c r="D28" s="12">
        <f>COUNTIFS($D$6:$D$23,"EI",$E$6:$E$23,"Alta")</f>
        <v>2</v>
      </c>
      <c r="E28" s="12">
        <f>SUMIFS($F$6:$F$23,$D$6:$D$23,"EI")</f>
        <v>38</v>
      </c>
      <c r="H28" s="3" t="s">
        <v>346</v>
      </c>
      <c r="I28" s="3" t="s">
        <v>347</v>
      </c>
      <c r="J28" s="3" t="s">
        <v>21</v>
      </c>
      <c r="K28" s="12">
        <f>IF(J28="Baja",7,IF(J28="Media",10,15))</f>
        <v>7</v>
      </c>
    </row>
    <row r="29" spans="1:11" ht="15" customHeight="1" x14ac:dyDescent="0.3">
      <c r="A29" s="3" t="s">
        <v>307</v>
      </c>
      <c r="B29" s="12">
        <f>COUNTIFS($D$6:$D$23,"EO",$E$6:$E$23,"Baja")</f>
        <v>0</v>
      </c>
      <c r="C29" s="12">
        <f>COUNTIFS($D$6:$D$23,"EO",$E$6:$E$23,"Media")</f>
        <v>2</v>
      </c>
      <c r="D29" s="12">
        <f>COUNTIFS($D$6:$D$23,"EO",$E$6:$E$23,"Alta")</f>
        <v>0</v>
      </c>
      <c r="E29" s="12">
        <f>SUMIFS($F$6:$F$23,$D$6:$D$23,"EO")</f>
        <v>10</v>
      </c>
      <c r="H29" s="3" t="s">
        <v>348</v>
      </c>
      <c r="I29" s="3" t="s">
        <v>349</v>
      </c>
      <c r="J29" s="3" t="s">
        <v>44</v>
      </c>
      <c r="K29" s="12">
        <f>IF(J29="Baja",7,IF(J29="Media",10,15))</f>
        <v>15</v>
      </c>
    </row>
    <row r="30" spans="1:11" ht="15" customHeight="1" x14ac:dyDescent="0.3">
      <c r="A30" s="3" t="s">
        <v>310</v>
      </c>
      <c r="B30" s="12">
        <f>COUNTIFS($D$6:$D$23,"EQ",$E$6:$E$23,"Baja")</f>
        <v>2</v>
      </c>
      <c r="C30" s="12">
        <f>COUNTIFS($D$6:$D$23,"EQ",$E$6:$E$23,"Media")</f>
        <v>2</v>
      </c>
      <c r="D30" s="12">
        <f>COUNTIFS($D$6:$D$23,"EQ",$E$6:$E$23,"Alta")</f>
        <v>1</v>
      </c>
      <c r="E30" s="12">
        <f>SUMIFS($F$6:$F$23,$D$6:$D$23,"EQ")</f>
        <v>20</v>
      </c>
      <c r="H30" s="3" t="s">
        <v>350</v>
      </c>
      <c r="I30" s="3" t="s">
        <v>351</v>
      </c>
      <c r="J30" s="3" t="s">
        <v>16</v>
      </c>
      <c r="K30" s="12">
        <f>IF(J30="Baja",7,IF(J30="Media",10,15))</f>
        <v>10</v>
      </c>
    </row>
    <row r="31" spans="1:11" ht="15" customHeight="1" x14ac:dyDescent="0.3">
      <c r="A31" s="17" t="s">
        <v>313</v>
      </c>
      <c r="B31" s="17"/>
      <c r="C31" s="17"/>
      <c r="D31" s="17"/>
      <c r="E31" s="12">
        <f>SUM(E28:E30)</f>
        <v>68</v>
      </c>
      <c r="H31" s="17"/>
      <c r="I31" s="17"/>
      <c r="J31" s="17" t="s">
        <v>316</v>
      </c>
      <c r="K31" s="12">
        <f>SUM(K28:K30)</f>
        <v>32</v>
      </c>
    </row>
    <row r="34" spans="1:2" ht="15" customHeight="1" x14ac:dyDescent="0.3">
      <c r="A34" s="15" t="s">
        <v>317</v>
      </c>
    </row>
    <row r="35" spans="1:2" ht="15" customHeight="1" x14ac:dyDescent="0.3">
      <c r="A35" s="3" t="s">
        <v>313</v>
      </c>
      <c r="B35" s="12">
        <f>E31</f>
        <v>68</v>
      </c>
    </row>
    <row r="36" spans="1:2" ht="15" customHeight="1" x14ac:dyDescent="0.3">
      <c r="A36" s="3" t="s">
        <v>318</v>
      </c>
      <c r="B36" s="12">
        <f>K31</f>
        <v>32</v>
      </c>
    </row>
    <row r="37" spans="1:2" ht="15" customHeight="1" x14ac:dyDescent="0.3">
      <c r="A37" s="3" t="s">
        <v>319</v>
      </c>
      <c r="B37" s="12">
        <f>B35+B36</f>
        <v>100</v>
      </c>
    </row>
    <row r="38" spans="1:2" ht="15" customHeight="1" x14ac:dyDescent="0.3">
      <c r="A38" s="3" t="s">
        <v>206</v>
      </c>
      <c r="B38" s="12">
        <f>Parametros!$F$4</f>
        <v>1.08</v>
      </c>
    </row>
    <row r="39" spans="1:2" ht="15" customHeight="1" x14ac:dyDescent="0.3">
      <c r="A39" s="3" t="s">
        <v>320</v>
      </c>
      <c r="B39" s="12">
        <f>B37*B38</f>
        <v>108</v>
      </c>
    </row>
    <row r="40" spans="1:2" ht="15" customHeight="1" x14ac:dyDescent="0.3">
      <c r="A40" s="3" t="s">
        <v>209</v>
      </c>
      <c r="B40" s="12">
        <f>Parametros!$F$6</f>
        <v>20</v>
      </c>
    </row>
    <row r="41" spans="1:2" ht="15" customHeight="1" x14ac:dyDescent="0.3">
      <c r="A41" s="3" t="s">
        <v>321</v>
      </c>
      <c r="B41" s="12">
        <f>B39*B40</f>
        <v>2160</v>
      </c>
    </row>
    <row r="42" spans="1:2" ht="15" customHeight="1" x14ac:dyDescent="0.3">
      <c r="A42" s="3" t="s">
        <v>322</v>
      </c>
      <c r="B42" s="12">
        <f>B41/1000</f>
        <v>2.16</v>
      </c>
    </row>
    <row r="44" spans="1:2" ht="15" customHeight="1" x14ac:dyDescent="0.3">
      <c r="A44" s="18" t="s">
        <v>323</v>
      </c>
    </row>
    <row r="45" spans="1:2" ht="15" customHeight="1" x14ac:dyDescent="0.3">
      <c r="A45" t="s">
        <v>324</v>
      </c>
      <c r="B45">
        <f>B39</f>
        <v>108</v>
      </c>
    </row>
    <row r="46" spans="1:2" ht="15" customHeight="1" x14ac:dyDescent="0.3">
      <c r="A46" t="s">
        <v>325</v>
      </c>
      <c r="B46">
        <f>Parametros!$F$19</f>
        <v>6</v>
      </c>
    </row>
    <row r="47" spans="1:2" ht="15" customHeight="1" x14ac:dyDescent="0.3">
      <c r="A47" t="s">
        <v>326</v>
      </c>
      <c r="B47">
        <f>B45*B46</f>
        <v>648</v>
      </c>
    </row>
    <row r="48" spans="1:2" ht="15" customHeight="1" x14ac:dyDescent="0.3">
      <c r="A48" t="s">
        <v>327</v>
      </c>
      <c r="B48">
        <f>B47*Parametros!$F$26</f>
        <v>259.2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27" customWidth="1"/>
    <col min="2" max="2" width="13" customWidth="1"/>
    <col min="3" max="3" width="55" customWidth="1"/>
    <col min="4" max="4" width="12" customWidth="1"/>
    <col min="5" max="5" width="14" customWidth="1"/>
    <col min="6" max="6" width="12" customWidth="1"/>
    <col min="8" max="8" width="7" customWidth="1"/>
    <col min="9" max="9" width="60" customWidth="1"/>
    <col min="10" max="12" width="8" customWidth="1"/>
    <col min="13" max="13" width="10" customWidth="1"/>
    <col min="14" max="14" width="11" customWidth="1"/>
    <col min="15" max="15" width="12" customWidth="1"/>
    <col min="16" max="16" width="25" customWidth="1"/>
  </cols>
  <sheetData>
    <row r="1" spans="1:16" ht="17.25" customHeight="1" x14ac:dyDescent="0.3">
      <c r="A1" s="1" t="s">
        <v>352</v>
      </c>
    </row>
    <row r="2" spans="1:16" ht="15" customHeight="1" x14ac:dyDescent="0.3">
      <c r="H2" s="8" t="s">
        <v>268</v>
      </c>
    </row>
    <row r="3" spans="1:16" ht="95.25" customHeight="1" x14ac:dyDescent="0.3">
      <c r="A3" t="s">
        <v>269</v>
      </c>
      <c r="B3" t="s">
        <v>353</v>
      </c>
      <c r="C3" t="s">
        <v>271</v>
      </c>
      <c r="D3">
        <v>10</v>
      </c>
      <c r="E3" s="9" t="s">
        <v>354</v>
      </c>
      <c r="H3" s="10" t="s">
        <v>273</v>
      </c>
      <c r="I3" s="10" t="s">
        <v>274</v>
      </c>
      <c r="J3" s="10" t="s">
        <v>275</v>
      </c>
      <c r="K3" s="10" t="s">
        <v>276</v>
      </c>
      <c r="L3" s="10" t="s">
        <v>277</v>
      </c>
      <c r="M3" s="10" t="s">
        <v>278</v>
      </c>
      <c r="N3" s="10" t="s">
        <v>279</v>
      </c>
      <c r="O3" s="10" t="s">
        <v>280</v>
      </c>
      <c r="P3" s="10" t="s">
        <v>281</v>
      </c>
    </row>
    <row r="4" spans="1:16" ht="15" customHeight="1" x14ac:dyDescent="0.3">
      <c r="H4" s="11">
        <v>1</v>
      </c>
      <c r="I4" s="11" t="s">
        <v>282</v>
      </c>
      <c r="J4" s="11">
        <v>0.5</v>
      </c>
      <c r="K4" s="11">
        <v>0.5</v>
      </c>
      <c r="L4" s="11">
        <v>0.5</v>
      </c>
      <c r="M4" s="11">
        <f t="shared" ref="M4:M16" si="0">(J4+4*K4+L4)/6</f>
        <v>0.5</v>
      </c>
      <c r="N4" s="11">
        <f>M4*Parametros!$F$20</f>
        <v>4</v>
      </c>
      <c r="O4" s="11"/>
      <c r="P4" s="11" t="s">
        <v>283</v>
      </c>
    </row>
    <row r="5" spans="1:16" ht="15" customHeight="1" x14ac:dyDescent="0.3">
      <c r="A5" s="2" t="s">
        <v>3</v>
      </c>
      <c r="B5" s="2" t="s">
        <v>273</v>
      </c>
      <c r="C5" s="2" t="s">
        <v>284</v>
      </c>
      <c r="D5" s="2" t="s">
        <v>6</v>
      </c>
      <c r="E5" s="2" t="s">
        <v>7</v>
      </c>
      <c r="F5" s="2" t="s">
        <v>8</v>
      </c>
      <c r="H5" s="11">
        <v>2</v>
      </c>
      <c r="I5" s="11" t="s">
        <v>285</v>
      </c>
      <c r="J5" s="11">
        <v>0.5</v>
      </c>
      <c r="K5" s="11">
        <v>1</v>
      </c>
      <c r="L5" s="11">
        <v>1.5</v>
      </c>
      <c r="M5" s="11">
        <f t="shared" si="0"/>
        <v>1</v>
      </c>
      <c r="N5" s="11">
        <f>M5*Parametros!$F$20</f>
        <v>8</v>
      </c>
      <c r="O5" s="11">
        <v>1</v>
      </c>
      <c r="P5" s="11" t="s">
        <v>286</v>
      </c>
    </row>
    <row r="6" spans="1:16" ht="27.75" customHeight="1" x14ac:dyDescent="0.3">
      <c r="A6" s="3" t="s">
        <v>119</v>
      </c>
      <c r="B6" s="3" t="s">
        <v>120</v>
      </c>
      <c r="C6" s="3" t="s">
        <v>121</v>
      </c>
      <c r="D6" s="3" t="s">
        <v>15</v>
      </c>
      <c r="E6" s="3" t="s">
        <v>16</v>
      </c>
      <c r="F6" s="12">
        <f>SUMIFS(Parametros!$C$4:$C$12,Parametros!$A$4:$A$12,D6,Parametros!$B$4:$B$12,E6)</f>
        <v>4</v>
      </c>
      <c r="H6" s="11">
        <v>3</v>
      </c>
      <c r="I6" s="11" t="s">
        <v>287</v>
      </c>
      <c r="J6" s="11">
        <v>0.5</v>
      </c>
      <c r="K6" s="11">
        <v>1</v>
      </c>
      <c r="L6" s="11">
        <v>1.5</v>
      </c>
      <c r="M6" s="11">
        <f t="shared" si="0"/>
        <v>1</v>
      </c>
      <c r="N6" s="11">
        <f>M6*Parametros!$F$20</f>
        <v>8</v>
      </c>
      <c r="O6" s="11">
        <v>2</v>
      </c>
      <c r="P6" s="11" t="s">
        <v>286</v>
      </c>
    </row>
    <row r="7" spans="1:16" ht="27.75" customHeight="1" x14ac:dyDescent="0.3">
      <c r="A7" s="3" t="s">
        <v>119</v>
      </c>
      <c r="B7" s="3" t="s">
        <v>122</v>
      </c>
      <c r="C7" s="3" t="s">
        <v>123</v>
      </c>
      <c r="D7" s="3" t="s">
        <v>20</v>
      </c>
      <c r="E7" s="3" t="s">
        <v>21</v>
      </c>
      <c r="F7" s="12">
        <f>SUMIFS(Parametros!$C$4:$C$12,Parametros!$A$4:$A$12,D7,Parametros!$B$4:$B$12,E7)</f>
        <v>3</v>
      </c>
      <c r="H7" s="11">
        <v>4</v>
      </c>
      <c r="I7" s="11" t="s">
        <v>288</v>
      </c>
      <c r="J7" s="11">
        <v>0.5</v>
      </c>
      <c r="K7" s="11">
        <v>0.5</v>
      </c>
      <c r="L7" s="11">
        <v>0.5</v>
      </c>
      <c r="M7" s="11">
        <f t="shared" si="0"/>
        <v>0.5</v>
      </c>
      <c r="N7" s="11">
        <f>M7*Parametros!$F$20</f>
        <v>4</v>
      </c>
      <c r="O7" s="11">
        <v>3</v>
      </c>
      <c r="P7" s="11" t="s">
        <v>286</v>
      </c>
    </row>
    <row r="8" spans="1:16" ht="27.75" customHeight="1" x14ac:dyDescent="0.3">
      <c r="A8" s="3" t="s">
        <v>119</v>
      </c>
      <c r="B8" s="3" t="s">
        <v>124</v>
      </c>
      <c r="C8" s="3" t="s">
        <v>125</v>
      </c>
      <c r="D8" s="3" t="s">
        <v>15</v>
      </c>
      <c r="E8" s="3" t="s">
        <v>16</v>
      </c>
      <c r="F8" s="12">
        <f>SUMIFS(Parametros!$C$4:$C$12,Parametros!$A$4:$A$12,D8,Parametros!$B$4:$B$12,E8)</f>
        <v>4</v>
      </c>
      <c r="H8" s="11">
        <v>5</v>
      </c>
      <c r="I8" s="11" t="s">
        <v>289</v>
      </c>
      <c r="J8" s="11">
        <v>0.5</v>
      </c>
      <c r="K8" s="11">
        <v>0.5</v>
      </c>
      <c r="L8" s="11">
        <v>0.5</v>
      </c>
      <c r="M8" s="11">
        <f t="shared" si="0"/>
        <v>0.5</v>
      </c>
      <c r="N8" s="11">
        <f>M8*Parametros!$F$20</f>
        <v>4</v>
      </c>
      <c r="O8" s="11">
        <v>4</v>
      </c>
      <c r="P8" s="11" t="s">
        <v>286</v>
      </c>
    </row>
    <row r="9" spans="1:16" ht="27.75" customHeight="1" x14ac:dyDescent="0.3">
      <c r="A9" s="3" t="s">
        <v>119</v>
      </c>
      <c r="B9" s="3" t="s">
        <v>126</v>
      </c>
      <c r="C9" s="3" t="s">
        <v>127</v>
      </c>
      <c r="D9" s="3" t="s">
        <v>15</v>
      </c>
      <c r="E9" s="3" t="s">
        <v>21</v>
      </c>
      <c r="F9" s="12">
        <f>SUMIFS(Parametros!$C$4:$C$12,Parametros!$A$4:$A$12,D9,Parametros!$B$4:$B$12,E9)</f>
        <v>3</v>
      </c>
      <c r="H9" s="11">
        <v>6</v>
      </c>
      <c r="I9" s="11" t="s">
        <v>290</v>
      </c>
      <c r="J9" s="11">
        <v>0.5</v>
      </c>
      <c r="K9" s="11">
        <v>0.5</v>
      </c>
      <c r="L9" s="11">
        <v>0.5</v>
      </c>
      <c r="M9" s="11">
        <f t="shared" si="0"/>
        <v>0.5</v>
      </c>
      <c r="N9" s="11">
        <f>M9*Parametros!$F$20</f>
        <v>4</v>
      </c>
      <c r="O9" s="11">
        <v>5</v>
      </c>
      <c r="P9" s="11" t="s">
        <v>286</v>
      </c>
    </row>
    <row r="10" spans="1:16" ht="27.75" customHeight="1" x14ac:dyDescent="0.3">
      <c r="A10" s="3" t="s">
        <v>119</v>
      </c>
      <c r="B10" s="3" t="s">
        <v>128</v>
      </c>
      <c r="C10" s="3" t="s">
        <v>129</v>
      </c>
      <c r="D10" s="3" t="s">
        <v>15</v>
      </c>
      <c r="E10" s="3" t="s">
        <v>21</v>
      </c>
      <c r="F10" s="12">
        <f>SUMIFS(Parametros!$C$4:$C$12,Parametros!$A$4:$A$12,D10,Parametros!$B$4:$B$12,E10)</f>
        <v>3</v>
      </c>
      <c r="H10" s="11">
        <v>7</v>
      </c>
      <c r="I10" s="11" t="s">
        <v>291</v>
      </c>
      <c r="J10" s="11">
        <v>0.5</v>
      </c>
      <c r="K10" s="11">
        <v>0.5</v>
      </c>
      <c r="L10" s="11">
        <v>0.5</v>
      </c>
      <c r="M10" s="11">
        <f t="shared" si="0"/>
        <v>0.5</v>
      </c>
      <c r="N10" s="11">
        <f>M10*Parametros!$F$20</f>
        <v>4</v>
      </c>
      <c r="O10" s="11">
        <v>6</v>
      </c>
      <c r="P10" s="11" t="s">
        <v>286</v>
      </c>
    </row>
    <row r="11" spans="1:16" ht="27.75" customHeight="1" x14ac:dyDescent="0.3">
      <c r="A11" s="3" t="s">
        <v>119</v>
      </c>
      <c r="B11" s="3" t="s">
        <v>130</v>
      </c>
      <c r="C11" s="3" t="s">
        <v>131</v>
      </c>
      <c r="D11" s="3" t="s">
        <v>15</v>
      </c>
      <c r="E11" s="3" t="s">
        <v>16</v>
      </c>
      <c r="F11" s="12">
        <f>SUMIFS(Parametros!$C$4:$C$12,Parametros!$A$4:$A$12,D11,Parametros!$B$4:$B$12,E11)</f>
        <v>4</v>
      </c>
      <c r="H11" s="11">
        <v>8</v>
      </c>
      <c r="I11" s="11" t="s">
        <v>292</v>
      </c>
      <c r="J11" s="11">
        <v>1</v>
      </c>
      <c r="K11" s="11">
        <v>1.5</v>
      </c>
      <c r="L11" s="11">
        <v>2</v>
      </c>
      <c r="M11" s="11">
        <f t="shared" si="0"/>
        <v>1.5</v>
      </c>
      <c r="N11" s="11">
        <f>M11*Parametros!$F$20</f>
        <v>12</v>
      </c>
      <c r="O11" s="11">
        <v>7</v>
      </c>
      <c r="P11" s="11" t="s">
        <v>286</v>
      </c>
    </row>
    <row r="12" spans="1:16" ht="27.75" customHeight="1" x14ac:dyDescent="0.3">
      <c r="A12" s="3" t="s">
        <v>119</v>
      </c>
      <c r="B12" s="3" t="s">
        <v>132</v>
      </c>
      <c r="C12" s="3" t="s">
        <v>133</v>
      </c>
      <c r="D12" s="3" t="s">
        <v>20</v>
      </c>
      <c r="E12" s="3" t="s">
        <v>16</v>
      </c>
      <c r="F12" s="12">
        <f>SUMIFS(Parametros!$C$4:$C$12,Parametros!$A$4:$A$12,D12,Parametros!$B$4:$B$12,E12)</f>
        <v>4</v>
      </c>
      <c r="H12" s="11">
        <v>9</v>
      </c>
      <c r="I12" s="11" t="s">
        <v>294</v>
      </c>
      <c r="J12" s="11">
        <v>1</v>
      </c>
      <c r="K12" s="11">
        <v>1.5</v>
      </c>
      <c r="L12" s="11">
        <v>2</v>
      </c>
      <c r="M12" s="11">
        <f t="shared" si="0"/>
        <v>1.5</v>
      </c>
      <c r="N12" s="11">
        <f>M12*Parametros!$F$20</f>
        <v>12</v>
      </c>
      <c r="O12" s="11">
        <v>8</v>
      </c>
      <c r="P12" s="11" t="s">
        <v>286</v>
      </c>
    </row>
    <row r="13" spans="1:16" ht="27.75" customHeight="1" x14ac:dyDescent="0.3">
      <c r="A13" s="3" t="s">
        <v>119</v>
      </c>
      <c r="B13" s="3" t="s">
        <v>134</v>
      </c>
      <c r="C13" s="3" t="s">
        <v>135</v>
      </c>
      <c r="D13" s="3" t="s">
        <v>15</v>
      </c>
      <c r="E13" s="3" t="s">
        <v>16</v>
      </c>
      <c r="F13" s="12">
        <f>SUMIFS(Parametros!$C$4:$C$12,Parametros!$A$4:$A$12,D13,Parametros!$B$4:$B$12,E13)</f>
        <v>4</v>
      </c>
      <c r="H13" s="11">
        <v>10</v>
      </c>
      <c r="I13" s="11" t="s">
        <v>295</v>
      </c>
      <c r="J13" s="11">
        <v>0.5</v>
      </c>
      <c r="K13" s="11">
        <v>1</v>
      </c>
      <c r="L13" s="11">
        <v>1.5</v>
      </c>
      <c r="M13" s="11">
        <f t="shared" si="0"/>
        <v>1</v>
      </c>
      <c r="N13" s="11">
        <f>M13*Parametros!$F$20</f>
        <v>8</v>
      </c>
      <c r="O13" s="11">
        <v>9</v>
      </c>
      <c r="P13" s="11" t="s">
        <v>286</v>
      </c>
    </row>
    <row r="14" spans="1:16" ht="15" customHeight="1" x14ac:dyDescent="0.3">
      <c r="A14" s="13"/>
      <c r="B14" s="13"/>
      <c r="C14" s="13" t="s">
        <v>355</v>
      </c>
      <c r="D14" s="13"/>
      <c r="E14" s="13"/>
      <c r="F14" s="14">
        <f>SUM(F6:F13)</f>
        <v>29</v>
      </c>
      <c r="H14" s="11">
        <v>11</v>
      </c>
      <c r="I14" s="11" t="s">
        <v>296</v>
      </c>
      <c r="J14" s="11">
        <v>0.5</v>
      </c>
      <c r="K14" s="11">
        <v>0.5</v>
      </c>
      <c r="L14" s="11">
        <v>0.5</v>
      </c>
      <c r="M14" s="11">
        <f t="shared" si="0"/>
        <v>0.5</v>
      </c>
      <c r="N14" s="11">
        <f>M14*Parametros!$F$20</f>
        <v>4</v>
      </c>
      <c r="O14" s="11">
        <v>10</v>
      </c>
      <c r="P14" s="11" t="s">
        <v>286</v>
      </c>
    </row>
    <row r="15" spans="1:16" ht="27.75" customHeight="1" x14ac:dyDescent="0.3">
      <c r="A15" s="3" t="s">
        <v>137</v>
      </c>
      <c r="B15" s="3" t="s">
        <v>138</v>
      </c>
      <c r="C15" s="3" t="s">
        <v>139</v>
      </c>
      <c r="D15" s="3" t="s">
        <v>15</v>
      </c>
      <c r="E15" s="3" t="s">
        <v>44</v>
      </c>
      <c r="F15" s="12">
        <f>SUMIFS(Parametros!$C$4:$C$12,Parametros!$A$4:$A$12,D15,Parametros!$B$4:$B$12,E15)</f>
        <v>6</v>
      </c>
      <c r="H15" s="11">
        <v>12</v>
      </c>
      <c r="I15" s="11" t="s">
        <v>297</v>
      </c>
      <c r="J15" s="11">
        <v>0.5</v>
      </c>
      <c r="K15" s="11">
        <v>0.5</v>
      </c>
      <c r="L15" s="11">
        <v>0.5</v>
      </c>
      <c r="M15" s="11">
        <f t="shared" si="0"/>
        <v>0.5</v>
      </c>
      <c r="N15" s="11">
        <f>M15*Parametros!$F$20</f>
        <v>4</v>
      </c>
      <c r="O15" s="11">
        <v>11</v>
      </c>
      <c r="P15" s="11" t="s">
        <v>286</v>
      </c>
    </row>
    <row r="16" spans="1:16" ht="27.75" customHeight="1" x14ac:dyDescent="0.3">
      <c r="A16" s="3" t="s">
        <v>137</v>
      </c>
      <c r="B16" s="3" t="s">
        <v>140</v>
      </c>
      <c r="C16" s="3" t="s">
        <v>141</v>
      </c>
      <c r="D16" s="3" t="s">
        <v>15</v>
      </c>
      <c r="E16" s="3" t="s">
        <v>16</v>
      </c>
      <c r="F16" s="12">
        <f>SUMIFS(Parametros!$C$4:$C$12,Parametros!$A$4:$A$12,D16,Parametros!$B$4:$B$12,E16)</f>
        <v>4</v>
      </c>
      <c r="H16" s="11">
        <v>13</v>
      </c>
      <c r="I16" s="11" t="s">
        <v>298</v>
      </c>
      <c r="J16" s="11">
        <v>0.5</v>
      </c>
      <c r="K16" s="11">
        <v>0.5</v>
      </c>
      <c r="L16" s="11">
        <v>0.5</v>
      </c>
      <c r="M16" s="11">
        <f t="shared" si="0"/>
        <v>0.5</v>
      </c>
      <c r="N16" s="11">
        <f>M16*Parametros!$F$20</f>
        <v>4</v>
      </c>
      <c r="O16" s="11">
        <v>12</v>
      </c>
      <c r="P16" s="11" t="s">
        <v>283</v>
      </c>
    </row>
    <row r="17" spans="1:11" ht="27.75" customHeight="1" x14ac:dyDescent="0.3">
      <c r="A17" s="3" t="s">
        <v>137</v>
      </c>
      <c r="B17" s="3" t="s">
        <v>142</v>
      </c>
      <c r="C17" s="3" t="s">
        <v>143</v>
      </c>
      <c r="D17" s="3" t="s">
        <v>15</v>
      </c>
      <c r="E17" s="3" t="s">
        <v>16</v>
      </c>
      <c r="F17" s="12">
        <f>SUMIFS(Parametros!$C$4:$C$12,Parametros!$A$4:$A$12,D17,Parametros!$B$4:$B$12,E17)</f>
        <v>4</v>
      </c>
    </row>
    <row r="18" spans="1:11" ht="27.75" customHeight="1" x14ac:dyDescent="0.3">
      <c r="A18" s="3" t="s">
        <v>137</v>
      </c>
      <c r="B18" s="3" t="s">
        <v>144</v>
      </c>
      <c r="C18" s="3" t="s">
        <v>145</v>
      </c>
      <c r="D18" s="3" t="s">
        <v>20</v>
      </c>
      <c r="E18" s="3" t="s">
        <v>16</v>
      </c>
      <c r="F18" s="12">
        <f>SUMIFS(Parametros!$C$4:$C$12,Parametros!$A$4:$A$12,D18,Parametros!$B$4:$B$12,E18)</f>
        <v>4</v>
      </c>
    </row>
    <row r="19" spans="1:11" ht="27.75" customHeight="1" x14ac:dyDescent="0.3">
      <c r="A19" s="3" t="s">
        <v>137</v>
      </c>
      <c r="B19" s="3" t="s">
        <v>146</v>
      </c>
      <c r="C19" s="3" t="s">
        <v>147</v>
      </c>
      <c r="D19" s="3" t="s">
        <v>15</v>
      </c>
      <c r="E19" s="3" t="s">
        <v>16</v>
      </c>
      <c r="F19" s="12">
        <f>SUMIFS(Parametros!$C$4:$C$12,Parametros!$A$4:$A$12,D19,Parametros!$B$4:$B$12,E19)</f>
        <v>4</v>
      </c>
    </row>
    <row r="20" spans="1:11" ht="27.75" customHeight="1" x14ac:dyDescent="0.3">
      <c r="A20" s="3" t="s">
        <v>137</v>
      </c>
      <c r="B20" s="3" t="s">
        <v>148</v>
      </c>
      <c r="C20" s="3" t="s">
        <v>149</v>
      </c>
      <c r="D20" s="3" t="s">
        <v>15</v>
      </c>
      <c r="E20" s="3" t="s">
        <v>16</v>
      </c>
      <c r="F20" s="12">
        <f>SUMIFS(Parametros!$C$4:$C$12,Parametros!$A$4:$A$12,D20,Parametros!$B$4:$B$12,E20)</f>
        <v>4</v>
      </c>
    </row>
    <row r="21" spans="1:11" ht="27.75" customHeight="1" x14ac:dyDescent="0.3">
      <c r="A21" s="3" t="s">
        <v>137</v>
      </c>
      <c r="B21" s="3" t="s">
        <v>150</v>
      </c>
      <c r="C21" s="3" t="s">
        <v>151</v>
      </c>
      <c r="D21" s="3" t="s">
        <v>15</v>
      </c>
      <c r="E21" s="3" t="s">
        <v>21</v>
      </c>
      <c r="F21" s="12">
        <f>SUMIFS(Parametros!$C$4:$C$12,Parametros!$A$4:$A$12,D21,Parametros!$B$4:$B$12,E21)</f>
        <v>3</v>
      </c>
    </row>
    <row r="22" spans="1:11" ht="27.75" customHeight="1" x14ac:dyDescent="0.3">
      <c r="A22" s="3" t="s">
        <v>137</v>
      </c>
      <c r="B22" s="3" t="s">
        <v>152</v>
      </c>
      <c r="C22" s="3" t="s">
        <v>153</v>
      </c>
      <c r="D22" s="3" t="s">
        <v>20</v>
      </c>
      <c r="E22" s="3" t="s">
        <v>16</v>
      </c>
      <c r="F22" s="12">
        <f>SUMIFS(Parametros!$C$4:$C$12,Parametros!$A$4:$A$12,D22,Parametros!$B$4:$B$12,E22)</f>
        <v>4</v>
      </c>
    </row>
    <row r="23" spans="1:11" ht="15" customHeight="1" x14ac:dyDescent="0.3">
      <c r="A23" s="13"/>
      <c r="B23" s="13"/>
      <c r="C23" s="13" t="s">
        <v>356</v>
      </c>
      <c r="D23" s="13"/>
      <c r="E23" s="13"/>
      <c r="F23" s="14">
        <f>SUM(F15:F22)</f>
        <v>33</v>
      </c>
    </row>
    <row r="26" spans="1:11" ht="15" customHeight="1" x14ac:dyDescent="0.3">
      <c r="A26" s="15" t="s">
        <v>300</v>
      </c>
      <c r="H26" s="15" t="s">
        <v>301</v>
      </c>
    </row>
    <row r="27" spans="1:11" ht="15" customHeight="1" x14ac:dyDescent="0.3">
      <c r="A27" s="16" t="s">
        <v>302</v>
      </c>
      <c r="B27" s="16" t="s">
        <v>21</v>
      </c>
      <c r="C27" s="16" t="s">
        <v>16</v>
      </c>
      <c r="D27" s="16" t="s">
        <v>44</v>
      </c>
      <c r="E27" s="16" t="s">
        <v>8</v>
      </c>
      <c r="H27" s="16" t="s">
        <v>273</v>
      </c>
      <c r="I27" s="16" t="s">
        <v>303</v>
      </c>
      <c r="J27" s="16" t="s">
        <v>7</v>
      </c>
      <c r="K27" s="16" t="s">
        <v>8</v>
      </c>
    </row>
    <row r="28" spans="1:11" ht="15" customHeight="1" x14ac:dyDescent="0.3">
      <c r="A28" s="3" t="s">
        <v>304</v>
      </c>
      <c r="B28" s="12">
        <f>COUNTIFS($D$6:$D$23,"EI",$E$6:$E$23,"Baja")</f>
        <v>3</v>
      </c>
      <c r="C28" s="12">
        <f>COUNTIFS($D$6:$D$23,"EI",$E$6:$E$23,"Media")</f>
        <v>8</v>
      </c>
      <c r="D28" s="12">
        <f>COUNTIFS($D$6:$D$23,"EI",$E$6:$E$23,"Alta")</f>
        <v>1</v>
      </c>
      <c r="E28" s="12">
        <f>SUMIFS($F$6:$F$23,$D$6:$D$23,"EI")</f>
        <v>47</v>
      </c>
      <c r="H28" s="3" t="s">
        <v>357</v>
      </c>
      <c r="I28" s="3" t="s">
        <v>358</v>
      </c>
      <c r="J28" s="3" t="s">
        <v>16</v>
      </c>
      <c r="K28" s="12">
        <f>IF(J28="Baja",7,IF(J28="Media",10,15))</f>
        <v>10</v>
      </c>
    </row>
    <row r="29" spans="1:11" ht="15" customHeight="1" x14ac:dyDescent="0.3">
      <c r="A29" s="3" t="s">
        <v>307</v>
      </c>
      <c r="B29" s="12">
        <f>COUNTIFS($D$6:$D$23,"EO",$E$6:$E$23,"Baja")</f>
        <v>0</v>
      </c>
      <c r="C29" s="12">
        <f>COUNTIFS($D$6:$D$23,"EO",$E$6:$E$23,"Media")</f>
        <v>0</v>
      </c>
      <c r="D29" s="12">
        <f>COUNTIFS($D$6:$D$23,"EO",$E$6:$E$23,"Alta")</f>
        <v>0</v>
      </c>
      <c r="E29" s="12">
        <f>SUMIFS($F$6:$F$23,$D$6:$D$23,"EO")</f>
        <v>0</v>
      </c>
      <c r="H29" s="3" t="s">
        <v>359</v>
      </c>
      <c r="I29" s="3" t="s">
        <v>360</v>
      </c>
      <c r="J29" s="3" t="s">
        <v>21</v>
      </c>
      <c r="K29" s="12">
        <f>IF(J29="Baja",7,IF(J29="Media",10,15))</f>
        <v>7</v>
      </c>
    </row>
    <row r="30" spans="1:11" ht="15" customHeight="1" x14ac:dyDescent="0.3">
      <c r="A30" s="3" t="s">
        <v>310</v>
      </c>
      <c r="B30" s="12">
        <f>COUNTIFS($D$6:$D$23,"EQ",$E$6:$E$23,"Baja")</f>
        <v>1</v>
      </c>
      <c r="C30" s="12">
        <f>COUNTIFS($D$6:$D$23,"EQ",$E$6:$E$23,"Media")</f>
        <v>3</v>
      </c>
      <c r="D30" s="12">
        <f>COUNTIFS($D$6:$D$23,"EQ",$E$6:$E$23,"Alta")</f>
        <v>0</v>
      </c>
      <c r="E30" s="12">
        <f>SUMIFS($F$6:$F$23,$D$6:$D$23,"EQ")</f>
        <v>15</v>
      </c>
      <c r="H30" s="3" t="s">
        <v>361</v>
      </c>
      <c r="I30" s="3" t="s">
        <v>362</v>
      </c>
      <c r="J30" s="3" t="s">
        <v>44</v>
      </c>
      <c r="K30" s="12">
        <f>IF(J30="Baja",7,IF(J30="Media",10,15))</f>
        <v>15</v>
      </c>
    </row>
    <row r="31" spans="1:11" ht="15" customHeight="1" x14ac:dyDescent="0.3">
      <c r="A31" s="17" t="s">
        <v>313</v>
      </c>
      <c r="B31" s="17"/>
      <c r="C31" s="17"/>
      <c r="D31" s="17"/>
      <c r="E31" s="12">
        <f>SUM(E28:E30)</f>
        <v>62</v>
      </c>
      <c r="H31" s="17"/>
      <c r="I31" s="17"/>
      <c r="J31" s="17" t="s">
        <v>316</v>
      </c>
      <c r="K31" s="12">
        <f>SUM(K28:K30)</f>
        <v>32</v>
      </c>
    </row>
    <row r="34" spans="1:2" ht="15" customHeight="1" x14ac:dyDescent="0.3">
      <c r="A34" s="15" t="s">
        <v>317</v>
      </c>
    </row>
    <row r="35" spans="1:2" ht="15" customHeight="1" x14ac:dyDescent="0.3">
      <c r="A35" s="3" t="s">
        <v>313</v>
      </c>
      <c r="B35" s="12">
        <f>E31</f>
        <v>62</v>
      </c>
    </row>
    <row r="36" spans="1:2" ht="15" customHeight="1" x14ac:dyDescent="0.3">
      <c r="A36" s="3" t="s">
        <v>318</v>
      </c>
      <c r="B36" s="12">
        <f>K31</f>
        <v>32</v>
      </c>
    </row>
    <row r="37" spans="1:2" ht="15" customHeight="1" x14ac:dyDescent="0.3">
      <c r="A37" s="3" t="s">
        <v>319</v>
      </c>
      <c r="B37" s="12">
        <f>B35+B36</f>
        <v>94</v>
      </c>
    </row>
    <row r="38" spans="1:2" ht="15" customHeight="1" x14ac:dyDescent="0.3">
      <c r="A38" s="3" t="s">
        <v>206</v>
      </c>
      <c r="B38" s="12">
        <f>Parametros!$F$4</f>
        <v>1.08</v>
      </c>
    </row>
    <row r="39" spans="1:2" ht="15" customHeight="1" x14ac:dyDescent="0.3">
      <c r="A39" s="3" t="s">
        <v>320</v>
      </c>
      <c r="B39" s="12">
        <f>B37*B38</f>
        <v>101.52000000000001</v>
      </c>
    </row>
    <row r="40" spans="1:2" ht="15" customHeight="1" x14ac:dyDescent="0.3">
      <c r="A40" s="3" t="s">
        <v>209</v>
      </c>
      <c r="B40" s="12">
        <f>Parametros!$F$6</f>
        <v>20</v>
      </c>
    </row>
    <row r="41" spans="1:2" ht="15" customHeight="1" x14ac:dyDescent="0.3">
      <c r="A41" s="3" t="s">
        <v>321</v>
      </c>
      <c r="B41" s="12">
        <f>B39*B40</f>
        <v>2030.4</v>
      </c>
    </row>
    <row r="42" spans="1:2" ht="15" customHeight="1" x14ac:dyDescent="0.3">
      <c r="A42" s="3" t="s">
        <v>322</v>
      </c>
      <c r="B42" s="12">
        <f>B41/1000</f>
        <v>2.0304000000000002</v>
      </c>
    </row>
    <row r="44" spans="1:2" ht="15" customHeight="1" x14ac:dyDescent="0.3">
      <c r="A44" s="18" t="s">
        <v>323</v>
      </c>
    </row>
    <row r="45" spans="1:2" ht="15" customHeight="1" x14ac:dyDescent="0.3">
      <c r="A45" t="s">
        <v>324</v>
      </c>
      <c r="B45">
        <f>B39</f>
        <v>101.52000000000001</v>
      </c>
    </row>
    <row r="46" spans="1:2" ht="15" customHeight="1" x14ac:dyDescent="0.3">
      <c r="A46" t="s">
        <v>325</v>
      </c>
      <c r="B46">
        <f>Parametros!$F$19</f>
        <v>6</v>
      </c>
    </row>
    <row r="47" spans="1:2" ht="15" customHeight="1" x14ac:dyDescent="0.3">
      <c r="A47" t="s">
        <v>326</v>
      </c>
      <c r="B47">
        <f>B45*B46</f>
        <v>609.12000000000012</v>
      </c>
    </row>
    <row r="48" spans="1:2" ht="15" customHeight="1" x14ac:dyDescent="0.3">
      <c r="A48" t="s">
        <v>327</v>
      </c>
      <c r="B48">
        <f>B47*Parametros!$F$26</f>
        <v>243.64800000000005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5" customHeight="1" x14ac:dyDescent="0.3"/>
  <cols>
    <col min="1" max="1" width="27" customWidth="1"/>
    <col min="2" max="2" width="13" customWidth="1"/>
    <col min="3" max="3" width="55" customWidth="1"/>
    <col min="4" max="4" width="12" customWidth="1"/>
    <col min="5" max="5" width="14" customWidth="1"/>
    <col min="6" max="6" width="12" customWidth="1"/>
    <col min="8" max="8" width="7" customWidth="1"/>
    <col min="9" max="9" width="60" customWidth="1"/>
    <col min="10" max="12" width="8" customWidth="1"/>
    <col min="13" max="13" width="10" customWidth="1"/>
    <col min="14" max="14" width="11" customWidth="1"/>
    <col min="15" max="15" width="12" customWidth="1"/>
    <col min="16" max="16" width="25" customWidth="1"/>
  </cols>
  <sheetData>
    <row r="1" spans="1:16" ht="17.25" customHeight="1" x14ac:dyDescent="0.3">
      <c r="A1" s="1" t="s">
        <v>363</v>
      </c>
    </row>
    <row r="2" spans="1:16" ht="15" customHeight="1" x14ac:dyDescent="0.3">
      <c r="H2" s="8" t="s">
        <v>268</v>
      </c>
    </row>
    <row r="3" spans="1:16" ht="81.75" customHeight="1" x14ac:dyDescent="0.3">
      <c r="A3" t="s">
        <v>269</v>
      </c>
      <c r="B3" t="s">
        <v>364</v>
      </c>
      <c r="C3" t="s">
        <v>271</v>
      </c>
      <c r="D3">
        <v>11</v>
      </c>
      <c r="E3" s="9" t="s">
        <v>365</v>
      </c>
      <c r="H3" s="10" t="s">
        <v>273</v>
      </c>
      <c r="I3" s="10" t="s">
        <v>274</v>
      </c>
      <c r="J3" s="10" t="s">
        <v>275</v>
      </c>
      <c r="K3" s="10" t="s">
        <v>276</v>
      </c>
      <c r="L3" s="10" t="s">
        <v>277</v>
      </c>
      <c r="M3" s="10" t="s">
        <v>278</v>
      </c>
      <c r="N3" s="10" t="s">
        <v>279</v>
      </c>
      <c r="O3" s="10" t="s">
        <v>280</v>
      </c>
      <c r="P3" s="10" t="s">
        <v>281</v>
      </c>
    </row>
    <row r="4" spans="1:16" ht="15" customHeight="1" x14ac:dyDescent="0.3">
      <c r="H4" s="11">
        <v>1</v>
      </c>
      <c r="I4" s="11" t="s">
        <v>282</v>
      </c>
      <c r="J4" s="11">
        <v>0.5</v>
      </c>
      <c r="K4" s="11">
        <v>0.5</v>
      </c>
      <c r="L4" s="11">
        <v>0.5</v>
      </c>
      <c r="M4" s="11">
        <f t="shared" ref="M4:M17" si="0">(J4+4*K4+L4)/6</f>
        <v>0.5</v>
      </c>
      <c r="N4" s="11">
        <f>M4*Parametros!$F$20</f>
        <v>4</v>
      </c>
      <c r="O4" s="11"/>
      <c r="P4" s="11" t="s">
        <v>283</v>
      </c>
    </row>
    <row r="5" spans="1:16" ht="15" customHeight="1" x14ac:dyDescent="0.3">
      <c r="A5" s="2" t="s">
        <v>3</v>
      </c>
      <c r="B5" s="2" t="s">
        <v>273</v>
      </c>
      <c r="C5" s="2" t="s">
        <v>284</v>
      </c>
      <c r="D5" s="2" t="s">
        <v>6</v>
      </c>
      <c r="E5" s="2" t="s">
        <v>7</v>
      </c>
      <c r="F5" s="2" t="s">
        <v>8</v>
      </c>
      <c r="H5" s="11">
        <v>2</v>
      </c>
      <c r="I5" s="11" t="s">
        <v>285</v>
      </c>
      <c r="J5" s="11">
        <v>0.5</v>
      </c>
      <c r="K5" s="11">
        <v>1</v>
      </c>
      <c r="L5" s="11">
        <v>1.5</v>
      </c>
      <c r="M5" s="11">
        <f t="shared" si="0"/>
        <v>1</v>
      </c>
      <c r="N5" s="11">
        <f>M5*Parametros!$F$20</f>
        <v>8</v>
      </c>
      <c r="O5" s="11">
        <v>1</v>
      </c>
      <c r="P5" s="11" t="s">
        <v>286</v>
      </c>
    </row>
    <row r="6" spans="1:16" ht="15" customHeight="1" x14ac:dyDescent="0.3">
      <c r="A6" s="3" t="s">
        <v>154</v>
      </c>
      <c r="B6" s="3" t="s">
        <v>155</v>
      </c>
      <c r="C6" s="3" t="s">
        <v>156</v>
      </c>
      <c r="D6" s="3" t="s">
        <v>15</v>
      </c>
      <c r="E6" s="3" t="s">
        <v>16</v>
      </c>
      <c r="F6" s="12">
        <f>SUMIFS(Parametros!$C$4:$C$12,Parametros!$A$4:$A$12,D6,Parametros!$B$4:$B$12,E6)</f>
        <v>4</v>
      </c>
      <c r="H6" s="11">
        <v>3</v>
      </c>
      <c r="I6" s="11" t="s">
        <v>287</v>
      </c>
      <c r="J6" s="11">
        <v>0.5</v>
      </c>
      <c r="K6" s="11">
        <v>1</v>
      </c>
      <c r="L6" s="11">
        <v>1.5</v>
      </c>
      <c r="M6" s="11">
        <f t="shared" si="0"/>
        <v>1</v>
      </c>
      <c r="N6" s="11">
        <f>M6*Parametros!$F$20</f>
        <v>8</v>
      </c>
      <c r="O6" s="11">
        <v>2</v>
      </c>
      <c r="P6" s="11" t="s">
        <v>286</v>
      </c>
    </row>
    <row r="7" spans="1:16" ht="15" customHeight="1" x14ac:dyDescent="0.3">
      <c r="A7" s="3" t="s">
        <v>154</v>
      </c>
      <c r="B7" s="3" t="s">
        <v>157</v>
      </c>
      <c r="C7" s="3" t="s">
        <v>158</v>
      </c>
      <c r="D7" s="3" t="s">
        <v>15</v>
      </c>
      <c r="E7" s="3" t="s">
        <v>21</v>
      </c>
      <c r="F7" s="12">
        <f>SUMIFS(Parametros!$C$4:$C$12,Parametros!$A$4:$A$12,D7,Parametros!$B$4:$B$12,E7)</f>
        <v>3</v>
      </c>
      <c r="H7" s="11">
        <v>4</v>
      </c>
      <c r="I7" s="11" t="s">
        <v>288</v>
      </c>
      <c r="J7" s="11">
        <v>0.5</v>
      </c>
      <c r="K7" s="11">
        <v>0.5</v>
      </c>
      <c r="L7" s="11">
        <v>0.5</v>
      </c>
      <c r="M7" s="11">
        <f t="shared" si="0"/>
        <v>0.5</v>
      </c>
      <c r="N7" s="11">
        <f>M7*Parametros!$F$20</f>
        <v>4</v>
      </c>
      <c r="O7" s="11">
        <v>3</v>
      </c>
      <c r="P7" s="11" t="s">
        <v>286</v>
      </c>
    </row>
    <row r="8" spans="1:16" ht="15" customHeight="1" x14ac:dyDescent="0.3">
      <c r="A8" s="3" t="s">
        <v>154</v>
      </c>
      <c r="B8" s="3" t="s">
        <v>159</v>
      </c>
      <c r="C8" s="3" t="s">
        <v>160</v>
      </c>
      <c r="D8" s="3" t="s">
        <v>41</v>
      </c>
      <c r="E8" s="3" t="s">
        <v>16</v>
      </c>
      <c r="F8" s="12">
        <f>SUMIFS(Parametros!$C$4:$C$12,Parametros!$A$4:$A$12,D8,Parametros!$B$4:$B$12,E8)</f>
        <v>5</v>
      </c>
      <c r="H8" s="11">
        <v>5</v>
      </c>
      <c r="I8" s="11" t="s">
        <v>289</v>
      </c>
      <c r="J8" s="11">
        <v>0.5</v>
      </c>
      <c r="K8" s="11">
        <v>0.5</v>
      </c>
      <c r="L8" s="11">
        <v>0.5</v>
      </c>
      <c r="M8" s="11">
        <f t="shared" si="0"/>
        <v>0.5</v>
      </c>
      <c r="N8" s="11">
        <f>M8*Parametros!$F$20</f>
        <v>4</v>
      </c>
      <c r="O8" s="11">
        <v>4</v>
      </c>
      <c r="P8" s="11" t="s">
        <v>286</v>
      </c>
    </row>
    <row r="9" spans="1:16" ht="15" customHeight="1" x14ac:dyDescent="0.3">
      <c r="A9" s="3" t="s">
        <v>154</v>
      </c>
      <c r="B9" s="3" t="s">
        <v>161</v>
      </c>
      <c r="C9" s="3" t="s">
        <v>162</v>
      </c>
      <c r="D9" s="3" t="s">
        <v>20</v>
      </c>
      <c r="E9" s="3" t="s">
        <v>21</v>
      </c>
      <c r="F9" s="12">
        <f>SUMIFS(Parametros!$C$4:$C$12,Parametros!$A$4:$A$12,D9,Parametros!$B$4:$B$12,E9)</f>
        <v>3</v>
      </c>
      <c r="H9" s="11">
        <v>6</v>
      </c>
      <c r="I9" s="11" t="s">
        <v>290</v>
      </c>
      <c r="J9" s="11">
        <v>0.5</v>
      </c>
      <c r="K9" s="11">
        <v>0.5</v>
      </c>
      <c r="L9" s="11">
        <v>0.5</v>
      </c>
      <c r="M9" s="11">
        <f t="shared" si="0"/>
        <v>0.5</v>
      </c>
      <c r="N9" s="11">
        <f>M9*Parametros!$F$20</f>
        <v>4</v>
      </c>
      <c r="O9" s="11">
        <v>5</v>
      </c>
      <c r="P9" s="11" t="s">
        <v>286</v>
      </c>
    </row>
    <row r="10" spans="1:16" ht="15" customHeight="1" x14ac:dyDescent="0.3">
      <c r="A10" s="3" t="s">
        <v>154</v>
      </c>
      <c r="B10" s="3" t="s">
        <v>163</v>
      </c>
      <c r="C10" s="3" t="s">
        <v>164</v>
      </c>
      <c r="D10" s="3" t="s">
        <v>15</v>
      </c>
      <c r="E10" s="3" t="s">
        <v>16</v>
      </c>
      <c r="F10" s="12">
        <f>SUMIFS(Parametros!$C$4:$C$12,Parametros!$A$4:$A$12,D10,Parametros!$B$4:$B$12,E10)</f>
        <v>4</v>
      </c>
      <c r="H10" s="11">
        <v>7</v>
      </c>
      <c r="I10" s="11" t="s">
        <v>291</v>
      </c>
      <c r="J10" s="11">
        <v>0.5</v>
      </c>
      <c r="K10" s="11">
        <v>0.5</v>
      </c>
      <c r="L10" s="11">
        <v>0.5</v>
      </c>
      <c r="M10" s="11">
        <f t="shared" si="0"/>
        <v>0.5</v>
      </c>
      <c r="N10" s="11">
        <f>M10*Parametros!$F$20</f>
        <v>4</v>
      </c>
      <c r="O10" s="11">
        <v>6</v>
      </c>
      <c r="P10" s="11" t="s">
        <v>286</v>
      </c>
    </row>
    <row r="11" spans="1:16" ht="15" customHeight="1" x14ac:dyDescent="0.3">
      <c r="A11" s="3" t="s">
        <v>154</v>
      </c>
      <c r="B11" s="3" t="s">
        <v>165</v>
      </c>
      <c r="C11" s="3" t="s">
        <v>166</v>
      </c>
      <c r="D11" s="3" t="s">
        <v>41</v>
      </c>
      <c r="E11" s="3" t="s">
        <v>16</v>
      </c>
      <c r="F11" s="12">
        <f>SUMIFS(Parametros!$C$4:$C$12,Parametros!$A$4:$A$12,D11,Parametros!$B$4:$B$12,E11)</f>
        <v>5</v>
      </c>
      <c r="H11" s="11">
        <v>8</v>
      </c>
      <c r="I11" s="11" t="s">
        <v>292</v>
      </c>
      <c r="J11" s="11">
        <v>1</v>
      </c>
      <c r="K11" s="11">
        <v>1.5</v>
      </c>
      <c r="L11" s="11">
        <v>2</v>
      </c>
      <c r="M11" s="11">
        <f t="shared" si="0"/>
        <v>1.5</v>
      </c>
      <c r="N11" s="11">
        <f>M11*Parametros!$F$20</f>
        <v>12</v>
      </c>
      <c r="O11" s="11">
        <v>7</v>
      </c>
      <c r="P11" s="11" t="s">
        <v>286</v>
      </c>
    </row>
    <row r="12" spans="1:16" ht="15" customHeight="1" x14ac:dyDescent="0.3">
      <c r="A12" s="3" t="s">
        <v>154</v>
      </c>
      <c r="B12" s="3" t="s">
        <v>167</v>
      </c>
      <c r="C12" s="3" t="s">
        <v>168</v>
      </c>
      <c r="D12" s="3" t="s">
        <v>41</v>
      </c>
      <c r="E12" s="3" t="s">
        <v>16</v>
      </c>
      <c r="F12" s="12">
        <f>SUMIFS(Parametros!$C$4:$C$12,Parametros!$A$4:$A$12,D12,Parametros!$B$4:$B$12,E12)</f>
        <v>5</v>
      </c>
      <c r="H12" s="11">
        <v>9</v>
      </c>
      <c r="I12" s="11" t="s">
        <v>294</v>
      </c>
      <c r="J12" s="11">
        <v>1</v>
      </c>
      <c r="K12" s="11">
        <v>1.5</v>
      </c>
      <c r="L12" s="11">
        <v>2</v>
      </c>
      <c r="M12" s="11">
        <f t="shared" si="0"/>
        <v>1.5</v>
      </c>
      <c r="N12" s="11">
        <f>M12*Parametros!$F$20</f>
        <v>12</v>
      </c>
      <c r="O12" s="11">
        <v>8</v>
      </c>
      <c r="P12" s="11" t="s">
        <v>286</v>
      </c>
    </row>
    <row r="13" spans="1:16" ht="15" customHeight="1" x14ac:dyDescent="0.3">
      <c r="A13" s="13"/>
      <c r="B13" s="13"/>
      <c r="C13" s="13" t="s">
        <v>366</v>
      </c>
      <c r="D13" s="13"/>
      <c r="E13" s="13"/>
      <c r="F13" s="14">
        <f>SUM(F6:F12)</f>
        <v>29</v>
      </c>
      <c r="H13" s="11">
        <v>10</v>
      </c>
      <c r="I13" s="11" t="s">
        <v>295</v>
      </c>
      <c r="J13" s="11">
        <v>0.5</v>
      </c>
      <c r="K13" s="11">
        <v>1</v>
      </c>
      <c r="L13" s="11">
        <v>1.5</v>
      </c>
      <c r="M13" s="11">
        <f t="shared" si="0"/>
        <v>1</v>
      </c>
      <c r="N13" s="11">
        <f>M13*Parametros!$F$20</f>
        <v>8</v>
      </c>
      <c r="O13" s="11">
        <v>9</v>
      </c>
      <c r="P13" s="11" t="s">
        <v>286</v>
      </c>
    </row>
    <row r="14" spans="1:16" ht="27.75" customHeight="1" x14ac:dyDescent="0.3">
      <c r="A14" s="3" t="s">
        <v>169</v>
      </c>
      <c r="B14" s="3" t="s">
        <v>170</v>
      </c>
      <c r="C14" s="3" t="s">
        <v>171</v>
      </c>
      <c r="D14" s="3" t="s">
        <v>15</v>
      </c>
      <c r="E14" s="3" t="s">
        <v>16</v>
      </c>
      <c r="F14" s="12">
        <f>SUMIFS(Parametros!$C$4:$C$12,Parametros!$A$4:$A$12,D14,Parametros!$B$4:$B$12,E14)</f>
        <v>4</v>
      </c>
      <c r="H14" s="11">
        <v>11</v>
      </c>
      <c r="I14" s="11" t="s">
        <v>296</v>
      </c>
      <c r="J14" s="11">
        <v>0.5</v>
      </c>
      <c r="K14" s="11">
        <v>0.5</v>
      </c>
      <c r="L14" s="11">
        <v>0.5</v>
      </c>
      <c r="M14" s="11">
        <f t="shared" si="0"/>
        <v>0.5</v>
      </c>
      <c r="N14" s="11">
        <f>M14*Parametros!$F$20</f>
        <v>4</v>
      </c>
      <c r="O14" s="11">
        <v>10</v>
      </c>
      <c r="P14" s="11" t="s">
        <v>286</v>
      </c>
    </row>
    <row r="15" spans="1:16" ht="27.75" customHeight="1" x14ac:dyDescent="0.3">
      <c r="A15" s="3" t="s">
        <v>169</v>
      </c>
      <c r="B15" s="3" t="s">
        <v>172</v>
      </c>
      <c r="C15" s="3" t="s">
        <v>173</v>
      </c>
      <c r="D15" s="3" t="s">
        <v>20</v>
      </c>
      <c r="E15" s="3" t="s">
        <v>16</v>
      </c>
      <c r="F15" s="12">
        <f>SUMIFS(Parametros!$C$4:$C$12,Parametros!$A$4:$A$12,D15,Parametros!$B$4:$B$12,E15)</f>
        <v>4</v>
      </c>
      <c r="H15" s="11">
        <v>12</v>
      </c>
      <c r="I15" s="11" t="s">
        <v>297</v>
      </c>
      <c r="J15" s="11">
        <v>0.5</v>
      </c>
      <c r="K15" s="11">
        <v>0.5</v>
      </c>
      <c r="L15" s="11">
        <v>0.5</v>
      </c>
      <c r="M15" s="11">
        <f t="shared" si="0"/>
        <v>0.5</v>
      </c>
      <c r="N15" s="11">
        <f>M15*Parametros!$F$20</f>
        <v>4</v>
      </c>
      <c r="O15" s="11">
        <v>11</v>
      </c>
      <c r="P15" s="11" t="s">
        <v>286</v>
      </c>
    </row>
    <row r="16" spans="1:16" ht="27.75" customHeight="1" x14ac:dyDescent="0.3">
      <c r="H16" s="11">
        <v>13</v>
      </c>
      <c r="I16" s="11" t="s">
        <v>367</v>
      </c>
      <c r="J16" s="11">
        <v>0.5</v>
      </c>
      <c r="K16" s="11">
        <v>1</v>
      </c>
      <c r="L16" s="11">
        <v>1.5</v>
      </c>
      <c r="M16" s="11">
        <f t="shared" si="0"/>
        <v>1</v>
      </c>
      <c r="N16" s="11">
        <f>M16*Parametros!$F$20</f>
        <v>8</v>
      </c>
      <c r="O16" s="11">
        <v>12</v>
      </c>
      <c r="P16" s="11" t="s">
        <v>368</v>
      </c>
    </row>
    <row r="17" spans="1:16" ht="27.75" customHeight="1" x14ac:dyDescent="0.3">
      <c r="A17" s="3" t="s">
        <v>169</v>
      </c>
      <c r="B17" s="3" t="s">
        <v>174</v>
      </c>
      <c r="C17" s="3" t="s">
        <v>175</v>
      </c>
      <c r="D17" s="3" t="s">
        <v>15</v>
      </c>
      <c r="E17" s="3" t="s">
        <v>16</v>
      </c>
      <c r="F17" s="12">
        <f>SUMIFS(Parametros!$C$4:$C$12,Parametros!$A$4:$A$12,D17,Parametros!$B$4:$B$12,E17)</f>
        <v>4</v>
      </c>
      <c r="H17" s="11">
        <v>14</v>
      </c>
      <c r="I17" s="11" t="s">
        <v>298</v>
      </c>
      <c r="J17" s="11">
        <v>0.5</v>
      </c>
      <c r="K17" s="11">
        <v>0.5</v>
      </c>
      <c r="L17" s="11">
        <v>0.5</v>
      </c>
      <c r="M17" s="11">
        <f t="shared" si="0"/>
        <v>0.5</v>
      </c>
      <c r="N17" s="11">
        <f>M17*Parametros!$F$20</f>
        <v>4</v>
      </c>
      <c r="O17" s="11">
        <v>13</v>
      </c>
      <c r="P17" s="11" t="s">
        <v>369</v>
      </c>
    </row>
    <row r="18" spans="1:16" ht="27.75" customHeight="1" x14ac:dyDescent="0.3">
      <c r="A18" s="3" t="s">
        <v>169</v>
      </c>
      <c r="B18" s="3" t="s">
        <v>176</v>
      </c>
      <c r="C18" s="3" t="s">
        <v>177</v>
      </c>
      <c r="D18" s="3" t="s">
        <v>15</v>
      </c>
      <c r="E18" s="3" t="s">
        <v>16</v>
      </c>
      <c r="F18" s="12">
        <f>SUMIFS(Parametros!$C$4:$C$12,Parametros!$A$4:$A$12,D18,Parametros!$B$4:$B$12,E18)</f>
        <v>4</v>
      </c>
    </row>
    <row r="19" spans="1:16" ht="27.75" customHeight="1" x14ac:dyDescent="0.3">
      <c r="A19" s="3" t="s">
        <v>169</v>
      </c>
      <c r="B19" s="3" t="s">
        <v>178</v>
      </c>
      <c r="C19" s="3" t="s">
        <v>179</v>
      </c>
      <c r="D19" s="3" t="s">
        <v>41</v>
      </c>
      <c r="E19" s="3" t="s">
        <v>16</v>
      </c>
      <c r="F19" s="12">
        <f>SUMIFS(Parametros!$C$4:$C$12,Parametros!$A$4:$A$12,D19,Parametros!$B$4:$B$12,E19)</f>
        <v>5</v>
      </c>
    </row>
    <row r="20" spans="1:16" ht="15" customHeight="1" x14ac:dyDescent="0.3">
      <c r="A20" s="3" t="s">
        <v>169</v>
      </c>
      <c r="B20" s="3" t="s">
        <v>180</v>
      </c>
      <c r="C20" s="3" t="s">
        <v>181</v>
      </c>
      <c r="D20" s="3" t="s">
        <v>41</v>
      </c>
      <c r="E20" s="3" t="s">
        <v>16</v>
      </c>
      <c r="F20" s="12">
        <f>SUMIFS(Parametros!$C$4:$C$12,Parametros!$A$4:$A$12,D20,Parametros!$B$4:$B$12,E20)</f>
        <v>5</v>
      </c>
    </row>
    <row r="21" spans="1:16" ht="27.75" customHeight="1" x14ac:dyDescent="0.3">
      <c r="A21" s="13"/>
      <c r="B21" s="13"/>
      <c r="C21" s="13" t="s">
        <v>370</v>
      </c>
      <c r="D21" s="13"/>
      <c r="E21" s="13"/>
      <c r="F21" s="14">
        <f>SUM(F14:F20)</f>
        <v>26</v>
      </c>
    </row>
    <row r="22" spans="1:16" ht="27.75" customHeight="1" x14ac:dyDescent="0.3">
      <c r="A22" s="3" t="s">
        <v>182</v>
      </c>
      <c r="B22" s="3" t="s">
        <v>183</v>
      </c>
      <c r="C22" s="3" t="s">
        <v>184</v>
      </c>
      <c r="D22" s="3" t="s">
        <v>41</v>
      </c>
      <c r="E22" s="3" t="s">
        <v>16</v>
      </c>
      <c r="F22" s="12">
        <f>SUMIFS(Parametros!$C$4:$C$12,Parametros!$A$4:$A$12,D22,Parametros!$B$4:$B$12,E22)</f>
        <v>5</v>
      </c>
    </row>
    <row r="23" spans="1:16" ht="27.75" customHeight="1" x14ac:dyDescent="0.3">
      <c r="A23" s="3" t="s">
        <v>182</v>
      </c>
      <c r="B23" s="3" t="s">
        <v>185</v>
      </c>
      <c r="C23" s="3" t="s">
        <v>186</v>
      </c>
      <c r="D23" s="3" t="s">
        <v>41</v>
      </c>
      <c r="E23" s="3" t="s">
        <v>16</v>
      </c>
      <c r="F23" s="12">
        <f>SUMIFS(Parametros!$C$4:$C$12,Parametros!$A$4:$A$12,D23,Parametros!$B$4:$B$12,E23)</f>
        <v>5</v>
      </c>
    </row>
    <row r="24" spans="1:16" ht="27.75" customHeight="1" x14ac:dyDescent="0.3">
      <c r="A24" s="3" t="s">
        <v>182</v>
      </c>
      <c r="B24" s="3" t="s">
        <v>187</v>
      </c>
      <c r="C24" s="3" t="s">
        <v>188</v>
      </c>
      <c r="D24" s="3" t="s">
        <v>41</v>
      </c>
      <c r="E24" s="3" t="s">
        <v>16</v>
      </c>
      <c r="F24" s="12">
        <f>SUMIFS(Parametros!$C$4:$C$12,Parametros!$A$4:$A$12,D24,Parametros!$B$4:$B$12,E24)</f>
        <v>5</v>
      </c>
    </row>
    <row r="25" spans="1:16" ht="27.75" customHeight="1" x14ac:dyDescent="0.3">
      <c r="A25" s="3" t="s">
        <v>182</v>
      </c>
      <c r="B25" s="3" t="s">
        <v>189</v>
      </c>
      <c r="C25" s="3" t="s">
        <v>179</v>
      </c>
      <c r="D25" s="3" t="s">
        <v>41</v>
      </c>
      <c r="E25" s="3" t="s">
        <v>16</v>
      </c>
      <c r="F25" s="12">
        <f>SUMIFS(Parametros!$C$4:$C$12,Parametros!$A$4:$A$12,D25,Parametros!$B$4:$B$12,E25)</f>
        <v>5</v>
      </c>
    </row>
    <row r="26" spans="1:16" ht="27.75" customHeight="1" x14ac:dyDescent="0.3">
      <c r="A26" s="3" t="s">
        <v>182</v>
      </c>
      <c r="B26" s="3" t="s">
        <v>190</v>
      </c>
      <c r="C26" s="3" t="s">
        <v>191</v>
      </c>
      <c r="D26" s="3" t="s">
        <v>20</v>
      </c>
      <c r="E26" s="3" t="s">
        <v>16</v>
      </c>
      <c r="F26" s="12">
        <f>SUMIFS(Parametros!$C$4:$C$12,Parametros!$A$4:$A$12,D26,Parametros!$B$4:$B$12,E26)</f>
        <v>4</v>
      </c>
    </row>
    <row r="27" spans="1:16" ht="15" customHeight="1" x14ac:dyDescent="0.3">
      <c r="A27" s="3" t="s">
        <v>182</v>
      </c>
      <c r="B27" s="3" t="s">
        <v>192</v>
      </c>
      <c r="C27" s="3" t="s">
        <v>193</v>
      </c>
      <c r="D27" s="3" t="s">
        <v>41</v>
      </c>
      <c r="E27" s="3" t="s">
        <v>44</v>
      </c>
      <c r="F27" s="12">
        <f>SUMIFS(Parametros!$C$4:$C$12,Parametros!$A$4:$A$12,D27,Parametros!$B$4:$B$12,E27)</f>
        <v>7</v>
      </c>
    </row>
    <row r="28" spans="1:16" ht="15" customHeight="1" x14ac:dyDescent="0.3">
      <c r="A28" s="13"/>
      <c r="B28" s="13"/>
      <c r="C28" s="13" t="s">
        <v>371</v>
      </c>
      <c r="D28" s="13"/>
      <c r="E28" s="13"/>
      <c r="F28" s="14">
        <f>SUM(F22:F27)</f>
        <v>31</v>
      </c>
    </row>
    <row r="31" spans="1:16" ht="15" customHeight="1" x14ac:dyDescent="0.3">
      <c r="A31" s="15" t="s">
        <v>300</v>
      </c>
      <c r="H31" s="15" t="s">
        <v>301</v>
      </c>
    </row>
    <row r="32" spans="1:16" ht="15" customHeight="1" x14ac:dyDescent="0.3">
      <c r="A32" s="16" t="s">
        <v>302</v>
      </c>
      <c r="B32" s="16" t="s">
        <v>21</v>
      </c>
      <c r="C32" s="16" t="s">
        <v>16</v>
      </c>
      <c r="D32" s="16" t="s">
        <v>44</v>
      </c>
      <c r="E32" s="16" t="s">
        <v>8</v>
      </c>
      <c r="H32" s="16" t="s">
        <v>273</v>
      </c>
      <c r="I32" s="16" t="s">
        <v>303</v>
      </c>
      <c r="J32" s="16" t="s">
        <v>7</v>
      </c>
      <c r="K32" s="16" t="s">
        <v>8</v>
      </c>
    </row>
    <row r="33" spans="1:11" ht="15" customHeight="1" x14ac:dyDescent="0.3">
      <c r="A33" s="3" t="s">
        <v>304</v>
      </c>
      <c r="B33" s="12">
        <f>COUNTIFS($D$6:$D$27,"EI",$E$6:$E$27,"Baja")</f>
        <v>1</v>
      </c>
      <c r="C33" s="12">
        <f>COUNTIFS($D$6:$D$27,"EI",$E$6:$E$27,"Media")</f>
        <v>5</v>
      </c>
      <c r="D33" s="12">
        <f>COUNTIFS($D$6:$D$27,"EI",$E$6:$E$27,"Alta")</f>
        <v>0</v>
      </c>
      <c r="E33" s="12">
        <f>SUMIFS($F$6:$F$27,$D$6:$D$27,"EI")</f>
        <v>23</v>
      </c>
      <c r="H33" s="3" t="s">
        <v>372</v>
      </c>
      <c r="I33" s="3" t="s">
        <v>373</v>
      </c>
      <c r="J33" s="3" t="s">
        <v>16</v>
      </c>
      <c r="K33" s="12">
        <f>10</f>
        <v>10</v>
      </c>
    </row>
    <row r="34" spans="1:11" ht="15" customHeight="1" x14ac:dyDescent="0.3">
      <c r="A34" s="3" t="s">
        <v>307</v>
      </c>
      <c r="B34" s="12">
        <f>COUNTIFS($D$6:$D$27,"EO",$E$6:$E$27,"Baja")</f>
        <v>0</v>
      </c>
      <c r="C34" s="12">
        <f>COUNTIFS($D$6:$D$27,"EO",$E$6:$E$27,"Media")</f>
        <v>9</v>
      </c>
      <c r="D34" s="12">
        <f>COUNTIFS($D$6:$D$27,"EO",$E$6:$E$27,"Alta")</f>
        <v>1</v>
      </c>
      <c r="E34" s="12">
        <f>SUMIFS($F$6:$F$27,$D$6:$D$27,"EO")</f>
        <v>52</v>
      </c>
      <c r="H34" s="3" t="s">
        <v>374</v>
      </c>
      <c r="I34" s="3" t="s">
        <v>375</v>
      </c>
      <c r="J34" s="3" t="s">
        <v>44</v>
      </c>
      <c r="K34" s="12">
        <f>15</f>
        <v>15</v>
      </c>
    </row>
    <row r="35" spans="1:11" ht="15" customHeight="1" x14ac:dyDescent="0.3">
      <c r="A35" s="3" t="s">
        <v>310</v>
      </c>
      <c r="B35" s="12">
        <f>COUNTIFS($D$6:$D$27,"EQ",$E$6:$E$27,"Baja")</f>
        <v>1</v>
      </c>
      <c r="C35" s="12">
        <f>COUNTIFS($D$6:$D$27,"EQ",$E$6:$E$27,"Media")</f>
        <v>2</v>
      </c>
      <c r="D35" s="12">
        <f>COUNTIFS($D$6:$D$27,"EQ",$E$6:$E$27,"Alta")</f>
        <v>0</v>
      </c>
      <c r="E35" s="12">
        <f>SUMIFS($F$6:$F$27,$D$6:$D$27,"EQ")</f>
        <v>11</v>
      </c>
      <c r="H35" s="3" t="s">
        <v>376</v>
      </c>
      <c r="I35" s="3" t="s">
        <v>377</v>
      </c>
      <c r="J35" s="3" t="s">
        <v>16</v>
      </c>
      <c r="K35" s="12">
        <f>10</f>
        <v>10</v>
      </c>
    </row>
    <row r="36" spans="1:11" ht="27.75" customHeight="1" x14ac:dyDescent="0.3">
      <c r="A36" s="17" t="s">
        <v>313</v>
      </c>
      <c r="B36" s="17"/>
      <c r="C36" s="17"/>
      <c r="D36" s="17"/>
      <c r="E36" s="12">
        <f>SUM(E33:E35)</f>
        <v>86</v>
      </c>
      <c r="H36" s="17"/>
      <c r="I36" s="17"/>
      <c r="J36" s="17" t="s">
        <v>316</v>
      </c>
      <c r="K36" s="12">
        <f>SUM(K33:K35)</f>
        <v>35</v>
      </c>
    </row>
    <row r="39" spans="1:11" ht="15" customHeight="1" x14ac:dyDescent="0.3">
      <c r="A39" s="15" t="s">
        <v>317</v>
      </c>
    </row>
    <row r="40" spans="1:11" ht="15" customHeight="1" x14ac:dyDescent="0.3">
      <c r="A40" s="3" t="s">
        <v>313</v>
      </c>
      <c r="B40" s="12">
        <f>E36</f>
        <v>86</v>
      </c>
    </row>
    <row r="41" spans="1:11" ht="15" customHeight="1" x14ac:dyDescent="0.3">
      <c r="A41" s="3" t="s">
        <v>318</v>
      </c>
      <c r="B41" s="12">
        <f>K36</f>
        <v>35</v>
      </c>
    </row>
    <row r="42" spans="1:11" ht="15" customHeight="1" x14ac:dyDescent="0.3">
      <c r="A42" s="3" t="s">
        <v>319</v>
      </c>
      <c r="B42" s="12">
        <f>B40+B41</f>
        <v>121</v>
      </c>
    </row>
    <row r="43" spans="1:11" ht="15" customHeight="1" x14ac:dyDescent="0.3">
      <c r="A43" s="3" t="s">
        <v>206</v>
      </c>
      <c r="B43" s="12">
        <f>Parametros!$F$4</f>
        <v>1.08</v>
      </c>
    </row>
    <row r="44" spans="1:11" ht="15" customHeight="1" x14ac:dyDescent="0.3">
      <c r="A44" s="3" t="s">
        <v>320</v>
      </c>
      <c r="B44" s="12">
        <f>B42*B43</f>
        <v>130.68</v>
      </c>
    </row>
    <row r="45" spans="1:11" ht="15" customHeight="1" x14ac:dyDescent="0.3">
      <c r="A45" s="3" t="s">
        <v>209</v>
      </c>
      <c r="B45" s="12">
        <f>Parametros!$F$6</f>
        <v>20</v>
      </c>
    </row>
    <row r="46" spans="1:11" ht="15" customHeight="1" x14ac:dyDescent="0.3">
      <c r="A46" s="3" t="s">
        <v>321</v>
      </c>
      <c r="B46" s="12">
        <f>B44*B45</f>
        <v>2613.6000000000004</v>
      </c>
    </row>
    <row r="47" spans="1:11" ht="15" customHeight="1" x14ac:dyDescent="0.3">
      <c r="A47" s="3" t="s">
        <v>322</v>
      </c>
      <c r="B47" s="12">
        <f>B46/1000</f>
        <v>2.6136000000000004</v>
      </c>
    </row>
    <row r="49" spans="1:2" ht="15" customHeight="1" x14ac:dyDescent="0.3">
      <c r="A49" s="18" t="s">
        <v>323</v>
      </c>
    </row>
    <row r="50" spans="1:2" ht="15" customHeight="1" x14ac:dyDescent="0.3">
      <c r="A50" t="s">
        <v>324</v>
      </c>
      <c r="B50">
        <f>B43</f>
        <v>1.08</v>
      </c>
    </row>
    <row r="51" spans="1:2" ht="15" customHeight="1" x14ac:dyDescent="0.3">
      <c r="A51" t="s">
        <v>325</v>
      </c>
      <c r="B51">
        <f>Parametros!$F$19</f>
        <v>6</v>
      </c>
    </row>
    <row r="52" spans="1:2" ht="15" customHeight="1" x14ac:dyDescent="0.3">
      <c r="A52" t="s">
        <v>326</v>
      </c>
      <c r="B52">
        <f>B49*B50</f>
        <v>0</v>
      </c>
    </row>
    <row r="53" spans="1:2" ht="15" customHeight="1" x14ac:dyDescent="0.3">
      <c r="A53" t="s">
        <v>327</v>
      </c>
      <c r="B53">
        <f>B51*Parametros!$F$26</f>
        <v>2.4000000000000004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3"/>
  <sheetViews>
    <sheetView showGridLines="0" zoomScaleNormal="100" workbookViewId="0"/>
  </sheetViews>
  <sheetFormatPr baseColWidth="10" defaultColWidth="8.6640625" defaultRowHeight="15" customHeight="1" x14ac:dyDescent="0.3"/>
  <cols>
    <col min="1" max="1" width="32" customWidth="1"/>
    <col min="2" max="2" width="34" customWidth="1"/>
    <col min="3" max="3" width="22" customWidth="1"/>
    <col min="4" max="9" width="12" customWidth="1"/>
    <col min="10" max="10" width="16" customWidth="1"/>
    <col min="11" max="11" width="18" customWidth="1"/>
  </cols>
  <sheetData>
    <row r="1" spans="1:11" ht="17.25" customHeight="1" x14ac:dyDescent="0.3">
      <c r="A1" s="1" t="s">
        <v>378</v>
      </c>
    </row>
    <row r="3" spans="1:11" ht="15" customHeight="1" x14ac:dyDescent="0.3">
      <c r="A3" s="2" t="s">
        <v>379</v>
      </c>
      <c r="B3" s="2" t="s">
        <v>380</v>
      </c>
      <c r="C3" s="2" t="s">
        <v>313</v>
      </c>
      <c r="D3" s="2" t="s">
        <v>318</v>
      </c>
      <c r="E3" s="2" t="s">
        <v>319</v>
      </c>
      <c r="F3" s="2" t="s">
        <v>206</v>
      </c>
      <c r="G3" s="2" t="s">
        <v>320</v>
      </c>
      <c r="H3" s="2" t="s">
        <v>322</v>
      </c>
      <c r="I3" t="s">
        <v>381</v>
      </c>
      <c r="J3" t="s">
        <v>382</v>
      </c>
      <c r="K3" t="s">
        <v>383</v>
      </c>
    </row>
    <row r="4" spans="1:11" ht="15" customHeight="1" x14ac:dyDescent="0.3">
      <c r="A4" s="3" t="s">
        <v>384</v>
      </c>
      <c r="B4" s="3" t="s">
        <v>385</v>
      </c>
      <c r="C4" s="12">
        <f>'Iteracion 1'!B34</f>
        <v>55</v>
      </c>
      <c r="D4" s="12">
        <f>'Iteracion 1'!B35</f>
        <v>36</v>
      </c>
      <c r="E4" s="12">
        <f>'Iteracion 1'!B36</f>
        <v>91</v>
      </c>
      <c r="F4" s="12">
        <f>'Iteracion 1'!B37</f>
        <v>1.08</v>
      </c>
      <c r="G4" s="12">
        <f>'Iteracion 1'!B38</f>
        <v>98.28</v>
      </c>
      <c r="H4" s="12">
        <f>'Iteracion 1'!B41</f>
        <v>1.9656</v>
      </c>
      <c r="I4">
        <f>Parametros!$F$19</f>
        <v>6</v>
      </c>
      <c r="J4">
        <f>G4*I4</f>
        <v>589.68000000000006</v>
      </c>
      <c r="K4">
        <f>J4*Parametros!$F$26</f>
        <v>235.87200000000004</v>
      </c>
    </row>
    <row r="5" spans="1:11" ht="15" customHeight="1" x14ac:dyDescent="0.3">
      <c r="A5" s="3" t="s">
        <v>386</v>
      </c>
      <c r="B5" s="3" t="s">
        <v>387</v>
      </c>
      <c r="C5" s="12">
        <f>'Iteracion 2'!B35</f>
        <v>59</v>
      </c>
      <c r="D5" s="12">
        <f>'Iteracion 2'!B36</f>
        <v>50</v>
      </c>
      <c r="E5" s="12">
        <f>'Iteracion 2'!B37</f>
        <v>109</v>
      </c>
      <c r="F5" s="12">
        <f>'Iteracion 2'!B38</f>
        <v>1.08</v>
      </c>
      <c r="G5" s="12">
        <f>'Iteracion 2'!B39</f>
        <v>117.72000000000001</v>
      </c>
      <c r="H5" s="12">
        <f>'Iteracion 2'!B42</f>
        <v>2.3544</v>
      </c>
      <c r="I5">
        <f>Parametros!$F$19</f>
        <v>6</v>
      </c>
      <c r="J5">
        <f>G5*I5</f>
        <v>706.32</v>
      </c>
      <c r="K5">
        <f>J5*Parametros!$F$26</f>
        <v>282.52800000000002</v>
      </c>
    </row>
    <row r="6" spans="1:11" ht="15" customHeight="1" x14ac:dyDescent="0.3">
      <c r="A6" s="3" t="s">
        <v>388</v>
      </c>
      <c r="B6" s="3" t="s">
        <v>389</v>
      </c>
      <c r="C6" s="12">
        <f>'Iteracion 3'!B35</f>
        <v>68</v>
      </c>
      <c r="D6" s="12">
        <f>'Iteracion 3'!B36</f>
        <v>32</v>
      </c>
      <c r="E6" s="12">
        <f>'Iteracion 3'!B37</f>
        <v>100</v>
      </c>
      <c r="F6" s="12">
        <f>'Iteracion 3'!B38</f>
        <v>1.08</v>
      </c>
      <c r="G6" s="12">
        <f>'Iteracion 3'!B39</f>
        <v>108</v>
      </c>
      <c r="H6" s="12">
        <f>'Iteracion 3'!B42</f>
        <v>2.16</v>
      </c>
      <c r="I6">
        <f>Parametros!$F$19</f>
        <v>6</v>
      </c>
      <c r="J6">
        <f>G6*I6</f>
        <v>648</v>
      </c>
      <c r="K6">
        <f>J6*Parametros!$F$26</f>
        <v>259.2</v>
      </c>
    </row>
    <row r="7" spans="1:11" ht="15" customHeight="1" x14ac:dyDescent="0.3">
      <c r="A7" s="3" t="s">
        <v>390</v>
      </c>
      <c r="B7" s="3" t="s">
        <v>391</v>
      </c>
      <c r="C7" s="12">
        <f>'Iteracion 4'!B35</f>
        <v>62</v>
      </c>
      <c r="D7" s="12">
        <f>'Iteracion 4'!B36</f>
        <v>32</v>
      </c>
      <c r="E7" s="12">
        <f>'Iteracion 4'!B37</f>
        <v>94</v>
      </c>
      <c r="F7" s="12">
        <f>'Iteracion 4'!B38</f>
        <v>1.08</v>
      </c>
      <c r="G7" s="12">
        <f>'Iteracion 4'!B39</f>
        <v>101.52000000000001</v>
      </c>
      <c r="H7" s="12">
        <f>'Iteracion 4'!B42</f>
        <v>2.0304000000000002</v>
      </c>
      <c r="I7">
        <f>Parametros!$F$19</f>
        <v>6</v>
      </c>
      <c r="J7">
        <f>G7*I7</f>
        <v>609.12000000000012</v>
      </c>
      <c r="K7">
        <f>J7*Parametros!$F$26</f>
        <v>243.64800000000005</v>
      </c>
    </row>
    <row r="8" spans="1:11" ht="15" customHeight="1" x14ac:dyDescent="0.3">
      <c r="A8" s="3" t="s">
        <v>392</v>
      </c>
      <c r="B8" s="3" t="s">
        <v>393</v>
      </c>
      <c r="C8" s="12">
        <f>'Iteracion 5'!B40</f>
        <v>86</v>
      </c>
      <c r="D8" s="12">
        <f>'Iteracion 5'!B41</f>
        <v>35</v>
      </c>
      <c r="E8" s="12">
        <f>'Iteracion 5'!B42</f>
        <v>121</v>
      </c>
      <c r="F8" s="12">
        <f>'Iteracion 5'!B43</f>
        <v>1.08</v>
      </c>
      <c r="G8" s="12">
        <f>'Iteracion 5'!B44</f>
        <v>130.68</v>
      </c>
      <c r="H8" s="12">
        <f>'Iteracion 5'!B47</f>
        <v>2.6136000000000004</v>
      </c>
      <c r="I8">
        <f>Parametros!$F$19</f>
        <v>6</v>
      </c>
      <c r="J8">
        <f>G8*I8</f>
        <v>784.08</v>
      </c>
      <c r="K8">
        <f>J8*Parametros!$F$26</f>
        <v>313.63200000000006</v>
      </c>
    </row>
    <row r="9" spans="1:11" ht="15" customHeight="1" x14ac:dyDescent="0.3">
      <c r="A9" s="13" t="s">
        <v>394</v>
      </c>
      <c r="B9" s="13"/>
      <c r="C9" s="14">
        <f>SUM(C4:C8)</f>
        <v>330</v>
      </c>
      <c r="D9" s="14">
        <f>SUM(D4:D8)</f>
        <v>185</v>
      </c>
      <c r="E9" s="14">
        <f>SUM(E4:E8)</f>
        <v>515</v>
      </c>
      <c r="F9" s="14">
        <f>Parametros!$F$4</f>
        <v>1.08</v>
      </c>
      <c r="G9" s="14">
        <f>SUM(G4:G8)</f>
        <v>556.20000000000005</v>
      </c>
      <c r="H9" s="14">
        <f>SUM(H4:H8)</f>
        <v>11.124000000000001</v>
      </c>
      <c r="I9">
        <f>Parametros!$F$19</f>
        <v>6</v>
      </c>
      <c r="J9">
        <f>SUM(J4:J8)</f>
        <v>3337.2</v>
      </c>
      <c r="K9">
        <f>SUM(K4:K8)</f>
        <v>1334.88</v>
      </c>
    </row>
    <row r="12" spans="1:11" ht="17.25" customHeight="1" x14ac:dyDescent="0.3">
      <c r="A12" s="1" t="s">
        <v>395</v>
      </c>
    </row>
    <row r="13" spans="1:11" ht="15" customHeight="1" x14ac:dyDescent="0.3">
      <c r="A13" s="3" t="s">
        <v>396</v>
      </c>
      <c r="B13" s="3"/>
      <c r="C13" s="12">
        <f>H9</f>
        <v>11.124000000000001</v>
      </c>
    </row>
    <row r="14" spans="1:11" ht="15" customHeight="1" x14ac:dyDescent="0.3">
      <c r="A14" s="3" t="s">
        <v>397</v>
      </c>
      <c r="B14" s="3"/>
      <c r="C14" s="3" t="s">
        <v>398</v>
      </c>
    </row>
    <row r="15" spans="1:11" ht="15" customHeight="1" x14ac:dyDescent="0.3">
      <c r="A15" s="3" t="s">
        <v>399</v>
      </c>
      <c r="B15" s="3"/>
      <c r="C15" s="12">
        <f>Parametros!$F$7</f>
        <v>2.4</v>
      </c>
    </row>
    <row r="16" spans="1:11" ht="15" customHeight="1" x14ac:dyDescent="0.3">
      <c r="A16" s="3" t="s">
        <v>400</v>
      </c>
      <c r="B16" s="3"/>
      <c r="C16" s="12">
        <f>Parametros!$F$8</f>
        <v>1.05</v>
      </c>
    </row>
    <row r="17" spans="1:4" ht="15" customHeight="1" x14ac:dyDescent="0.3">
      <c r="A17" s="3" t="s">
        <v>401</v>
      </c>
      <c r="B17" s="3"/>
      <c r="C17" s="12">
        <f>Parametros!$F$9</f>
        <v>2.5</v>
      </c>
    </row>
    <row r="18" spans="1:4" ht="15" customHeight="1" x14ac:dyDescent="0.3">
      <c r="A18" s="3" t="s">
        <v>402</v>
      </c>
      <c r="B18" s="3"/>
      <c r="C18" s="12">
        <f>Parametros!$F$10</f>
        <v>0.38</v>
      </c>
    </row>
    <row r="19" spans="1:4" ht="15" customHeight="1" x14ac:dyDescent="0.3">
      <c r="A19" s="3" t="s">
        <v>403</v>
      </c>
      <c r="B19" s="3"/>
      <c r="C19" s="12">
        <f>C15*C13^C16</f>
        <v>30.115166658332331</v>
      </c>
    </row>
    <row r="20" spans="1:4" ht="15" customHeight="1" x14ac:dyDescent="0.3">
      <c r="A20" s="3" t="s">
        <v>404</v>
      </c>
      <c r="B20" s="3"/>
      <c r="C20" s="12">
        <f>C17*C19^C18</f>
        <v>9.1175554161533796</v>
      </c>
    </row>
    <row r="21" spans="1:4" ht="15" customHeight="1" x14ac:dyDescent="0.3">
      <c r="A21" s="3" t="s">
        <v>405</v>
      </c>
      <c r="B21" s="3"/>
      <c r="C21" s="12">
        <f>ROUNDUP(C19/C20,0)</f>
        <v>4</v>
      </c>
    </row>
    <row r="22" spans="1:4" ht="15" customHeight="1" x14ac:dyDescent="0.3">
      <c r="A22" s="3" t="s">
        <v>406</v>
      </c>
      <c r="B22" s="3"/>
      <c r="C22" s="12">
        <f>Parametros!$F$14</f>
        <v>3.2</v>
      </c>
    </row>
    <row r="23" spans="1:4" ht="27.75" customHeight="1" x14ac:dyDescent="0.3">
      <c r="A23" s="3" t="s">
        <v>407</v>
      </c>
      <c r="B23" s="3"/>
      <c r="C23" s="12">
        <f>Parametros!$F$24</f>
        <v>46279</v>
      </c>
    </row>
    <row r="24" spans="1:4" ht="15" customHeight="1" x14ac:dyDescent="0.3">
      <c r="A24" t="s">
        <v>408</v>
      </c>
      <c r="C24" t="s">
        <v>409</v>
      </c>
    </row>
    <row r="25" spans="1:4" ht="15" customHeight="1" x14ac:dyDescent="0.3">
      <c r="A25" t="s">
        <v>410</v>
      </c>
    </row>
    <row r="26" spans="1:4" ht="15" customHeight="1" x14ac:dyDescent="0.3">
      <c r="A26" s="4" t="s">
        <v>411</v>
      </c>
    </row>
    <row r="27" spans="1:4" ht="15" customHeight="1" x14ac:dyDescent="0.3">
      <c r="A27" s="18" t="s">
        <v>412</v>
      </c>
    </row>
    <row r="28" spans="1:4" ht="15" customHeight="1" x14ac:dyDescent="0.3">
      <c r="A28" s="19" t="s">
        <v>413</v>
      </c>
      <c r="B28" s="19" t="s">
        <v>414</v>
      </c>
      <c r="C28" s="19" t="s">
        <v>415</v>
      </c>
      <c r="D28" s="19" t="s">
        <v>416</v>
      </c>
    </row>
    <row r="29" spans="1:4" ht="15" customHeight="1" x14ac:dyDescent="0.3">
      <c r="A29" t="s">
        <v>417</v>
      </c>
      <c r="B29" s="7">
        <v>0.25</v>
      </c>
      <c r="C29">
        <f>J9*B29</f>
        <v>834.3</v>
      </c>
      <c r="D29">
        <f>C29/Parametros!$F$20</f>
        <v>104.28749999999999</v>
      </c>
    </row>
    <row r="30" spans="1:4" ht="15" customHeight="1" x14ac:dyDescent="0.3">
      <c r="A30" t="s">
        <v>418</v>
      </c>
      <c r="B30" s="7">
        <v>0.25</v>
      </c>
      <c r="C30">
        <f>J9*B30</f>
        <v>834.3</v>
      </c>
      <c r="D30">
        <f>C30/Parametros!$F$20</f>
        <v>104.28749999999999</v>
      </c>
    </row>
    <row r="31" spans="1:4" ht="15" customHeight="1" x14ac:dyDescent="0.3">
      <c r="A31" t="s">
        <v>419</v>
      </c>
      <c r="B31" s="7">
        <v>0.4</v>
      </c>
      <c r="C31">
        <f>J9*B31</f>
        <v>1334.88</v>
      </c>
      <c r="D31">
        <f>C31/Parametros!$F$20</f>
        <v>166.86</v>
      </c>
    </row>
    <row r="32" spans="1:4" ht="15" customHeight="1" x14ac:dyDescent="0.3">
      <c r="A32" t="s">
        <v>420</v>
      </c>
      <c r="B32" s="7">
        <v>0.1</v>
      </c>
      <c r="C32">
        <f>J9*B32</f>
        <v>333.72</v>
      </c>
      <c r="D32">
        <f>C32/Parametros!$F$20</f>
        <v>41.715000000000003</v>
      </c>
    </row>
    <row r="33" spans="1:4" ht="15" customHeight="1" x14ac:dyDescent="0.3">
      <c r="A33" t="s">
        <v>394</v>
      </c>
      <c r="B33" s="20">
        <f>SUM(B29:B32)</f>
        <v>1</v>
      </c>
      <c r="C33">
        <f>SUM(C29:C32)</f>
        <v>3337.2</v>
      </c>
      <c r="D33">
        <f>SUM(D29:D32)</f>
        <v>417.15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"/>
  <sheetViews>
    <sheetView showGridLines="0" zoomScaleNormal="100" workbookViewId="0"/>
  </sheetViews>
  <sheetFormatPr baseColWidth="10" defaultColWidth="8.6640625" defaultRowHeight="15" customHeight="1" x14ac:dyDescent="0.3"/>
  <cols>
    <col min="1" max="1" width="12" customWidth="1"/>
    <col min="2" max="2" width="10" customWidth="1"/>
    <col min="3" max="3" width="48" customWidth="1"/>
    <col min="4" max="6" width="9" customWidth="1"/>
    <col min="7" max="7" width="12" customWidth="1"/>
    <col min="8" max="8" width="15" customWidth="1"/>
    <col min="9" max="11" width="10" customWidth="1"/>
  </cols>
  <sheetData>
    <row r="1" spans="1:7" ht="17.25" customHeight="1" x14ac:dyDescent="0.3">
      <c r="A1" t="s">
        <v>421</v>
      </c>
    </row>
    <row r="2" spans="1:7" ht="15" customHeight="1" x14ac:dyDescent="0.3">
      <c r="A2" t="s">
        <v>422</v>
      </c>
      <c r="B2" t="s">
        <v>423</v>
      </c>
    </row>
    <row r="3" spans="1:7" ht="15" customHeight="1" x14ac:dyDescent="0.3">
      <c r="A3" t="s">
        <v>424</v>
      </c>
      <c r="B3" t="s">
        <v>425</v>
      </c>
    </row>
    <row r="4" spans="1:7" ht="15" customHeight="1" x14ac:dyDescent="0.3">
      <c r="A4" t="s">
        <v>235</v>
      </c>
      <c r="B4" t="s">
        <v>426</v>
      </c>
    </row>
    <row r="5" spans="1:7" ht="15" customHeight="1" x14ac:dyDescent="0.3">
      <c r="A5" t="s">
        <v>237</v>
      </c>
      <c r="B5" t="s">
        <v>427</v>
      </c>
    </row>
    <row r="6" spans="1:7" ht="15" customHeight="1" x14ac:dyDescent="0.3">
      <c r="A6" t="s">
        <v>219</v>
      </c>
      <c r="B6" t="s">
        <v>428</v>
      </c>
    </row>
    <row r="8" spans="1:7" ht="15" customHeight="1" x14ac:dyDescent="0.3">
      <c r="A8" s="21" t="s">
        <v>429</v>
      </c>
      <c r="B8" s="21" t="s">
        <v>413</v>
      </c>
      <c r="C8" s="21" t="s">
        <v>430</v>
      </c>
      <c r="D8" s="21" t="s">
        <v>431</v>
      </c>
      <c r="E8" s="21" t="s">
        <v>432</v>
      </c>
      <c r="F8" s="21" t="s">
        <v>433</v>
      </c>
      <c r="G8" s="21"/>
    </row>
    <row r="9" spans="1:7" ht="15" customHeight="1" x14ac:dyDescent="0.3">
      <c r="A9" t="s">
        <v>434</v>
      </c>
      <c r="B9" t="s">
        <v>231</v>
      </c>
      <c r="C9" s="22">
        <v>46244</v>
      </c>
      <c r="D9" s="22">
        <v>46244</v>
      </c>
      <c r="E9" t="s">
        <v>87</v>
      </c>
      <c r="F9" t="s">
        <v>435</v>
      </c>
    </row>
    <row r="10" spans="1:7" ht="27.75" customHeight="1" x14ac:dyDescent="0.3">
      <c r="A10" t="s">
        <v>436</v>
      </c>
      <c r="B10" t="s">
        <v>437</v>
      </c>
      <c r="C10" s="22">
        <v>46245</v>
      </c>
      <c r="D10" s="22">
        <v>46269</v>
      </c>
      <c r="E10" t="s">
        <v>434</v>
      </c>
      <c r="F10" t="s">
        <v>438</v>
      </c>
    </row>
    <row r="11" spans="1:7" ht="108.75" customHeight="1" x14ac:dyDescent="0.3">
      <c r="A11" t="s">
        <v>439</v>
      </c>
      <c r="B11" t="s">
        <v>440</v>
      </c>
      <c r="C11" s="22">
        <v>46272</v>
      </c>
      <c r="D11" s="22">
        <v>46276</v>
      </c>
      <c r="E11" t="s">
        <v>436</v>
      </c>
      <c r="F11" t="s">
        <v>441</v>
      </c>
    </row>
    <row r="12" spans="1:7" ht="81.75" customHeight="1" x14ac:dyDescent="0.3">
      <c r="A12" t="s">
        <v>442</v>
      </c>
      <c r="B12" t="s">
        <v>443</v>
      </c>
      <c r="C12" s="22">
        <v>46279</v>
      </c>
      <c r="D12" s="22">
        <v>46339</v>
      </c>
      <c r="E12" t="s">
        <v>439</v>
      </c>
      <c r="F12" t="s">
        <v>444</v>
      </c>
    </row>
    <row r="13" spans="1:7" ht="108.75" customHeight="1" x14ac:dyDescent="0.3">
      <c r="A13" t="s">
        <v>264</v>
      </c>
      <c r="B13" t="s">
        <v>420</v>
      </c>
      <c r="C13" s="22">
        <v>46279</v>
      </c>
      <c r="D13" s="22">
        <v>46339</v>
      </c>
      <c r="E13" t="s">
        <v>442</v>
      </c>
      <c r="F13" t="s">
        <v>445</v>
      </c>
    </row>
    <row r="14" spans="1:7" ht="81.75" customHeight="1" x14ac:dyDescent="0.3">
      <c r="A14" t="s">
        <v>446</v>
      </c>
      <c r="B14" t="s">
        <v>447</v>
      </c>
      <c r="C14" s="22">
        <v>46339</v>
      </c>
      <c r="D14" s="22">
        <v>46339</v>
      </c>
      <c r="E14" t="s">
        <v>264</v>
      </c>
      <c r="F14" t="s">
        <v>448</v>
      </c>
    </row>
    <row r="15" spans="1:7" ht="95.25" customHeight="1" x14ac:dyDescent="0.3">
      <c r="A15" t="s">
        <v>449</v>
      </c>
      <c r="B15" t="s">
        <v>450</v>
      </c>
      <c r="C15" s="22">
        <v>46339</v>
      </c>
      <c r="D15" s="22">
        <v>46339</v>
      </c>
      <c r="E15" t="s">
        <v>446</v>
      </c>
      <c r="F15" t="s">
        <v>451</v>
      </c>
    </row>
    <row r="16" spans="1:7" ht="27.75" customHeight="1" x14ac:dyDescent="0.3"/>
    <row r="17" spans="1:7" ht="15" customHeight="1" x14ac:dyDescent="0.3">
      <c r="A17" s="21" t="s">
        <v>379</v>
      </c>
      <c r="B17" s="21" t="s">
        <v>269</v>
      </c>
      <c r="C17" s="21" t="s">
        <v>380</v>
      </c>
      <c r="D17" s="21" t="s">
        <v>313</v>
      </c>
      <c r="E17" s="21" t="s">
        <v>452</v>
      </c>
      <c r="F17" s="21" t="s">
        <v>453</v>
      </c>
      <c r="G17" s="21" t="s">
        <v>432</v>
      </c>
    </row>
    <row r="18" spans="1:7" ht="15" customHeight="1" x14ac:dyDescent="0.3">
      <c r="A18" t="s">
        <v>384</v>
      </c>
      <c r="B18" t="s">
        <v>454</v>
      </c>
      <c r="C18" t="s">
        <v>385</v>
      </c>
      <c r="D18">
        <v>55</v>
      </c>
      <c r="E18" s="23">
        <v>46279</v>
      </c>
      <c r="F18" s="23">
        <v>46289</v>
      </c>
      <c r="G18" t="s">
        <v>455</v>
      </c>
    </row>
    <row r="19" spans="1:7" ht="15" customHeight="1" x14ac:dyDescent="0.3">
      <c r="A19" t="s">
        <v>386</v>
      </c>
      <c r="B19" t="s">
        <v>456</v>
      </c>
      <c r="C19" t="s">
        <v>387</v>
      </c>
      <c r="D19">
        <v>59</v>
      </c>
      <c r="E19" s="23">
        <v>46290</v>
      </c>
      <c r="F19" s="23">
        <v>46301</v>
      </c>
      <c r="G19" t="s">
        <v>384</v>
      </c>
    </row>
    <row r="20" spans="1:7" ht="15" customHeight="1" x14ac:dyDescent="0.3">
      <c r="A20" t="s">
        <v>388</v>
      </c>
      <c r="B20" t="s">
        <v>457</v>
      </c>
      <c r="C20" t="s">
        <v>389</v>
      </c>
      <c r="D20">
        <v>68</v>
      </c>
      <c r="E20" s="23">
        <v>46302</v>
      </c>
      <c r="F20" s="23">
        <v>46314</v>
      </c>
      <c r="G20" t="s">
        <v>386</v>
      </c>
    </row>
    <row r="21" spans="1:7" ht="15" customHeight="1" x14ac:dyDescent="0.3">
      <c r="A21" t="s">
        <v>390</v>
      </c>
      <c r="B21" t="s">
        <v>458</v>
      </c>
      <c r="C21" t="s">
        <v>391</v>
      </c>
      <c r="D21">
        <v>62</v>
      </c>
      <c r="E21" s="23">
        <v>46315</v>
      </c>
      <c r="F21" s="23">
        <v>46325</v>
      </c>
      <c r="G21" t="s">
        <v>388</v>
      </c>
    </row>
    <row r="22" spans="1:7" ht="15" customHeight="1" x14ac:dyDescent="0.3">
      <c r="A22" t="s">
        <v>392</v>
      </c>
      <c r="B22" t="s">
        <v>459</v>
      </c>
      <c r="C22" t="s">
        <v>393</v>
      </c>
      <c r="D22">
        <v>86</v>
      </c>
      <c r="E22" s="23">
        <v>46326</v>
      </c>
      <c r="F22" s="23">
        <v>46339</v>
      </c>
      <c r="G22" t="s">
        <v>390</v>
      </c>
    </row>
    <row r="44" ht="41.25" customHeight="1" x14ac:dyDescent="0.3"/>
    <row r="45" ht="41.25" customHeight="1" x14ac:dyDescent="0.3"/>
    <row r="46" ht="27.75" customHeight="1" x14ac:dyDescent="0.3"/>
  </sheetData>
  <pageMargins left="0.75" right="0.75" top="1" bottom="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5" customWidth="1"/>
    <col min="2" max="2" width="14" customWidth="1"/>
    <col min="3" max="5" width="18" customWidth="1"/>
  </cols>
  <sheetData>
    <row r="1" spans="1:6" ht="17.25" customHeight="1" x14ac:dyDescent="0.3">
      <c r="A1" s="1" t="s">
        <v>460</v>
      </c>
    </row>
    <row r="3" spans="1:6" ht="15" customHeight="1" x14ac:dyDescent="0.3">
      <c r="A3" s="2" t="s">
        <v>461</v>
      </c>
      <c r="B3" s="2" t="s">
        <v>462</v>
      </c>
      <c r="C3" s="2" t="s">
        <v>463</v>
      </c>
      <c r="D3" s="2" t="s">
        <v>464</v>
      </c>
      <c r="E3" s="2" t="s">
        <v>465</v>
      </c>
    </row>
    <row r="4" spans="1:6" ht="15" customHeight="1" x14ac:dyDescent="0.3">
      <c r="A4" s="3" t="s">
        <v>466</v>
      </c>
      <c r="B4" s="12">
        <f>Consolidado!C21</f>
        <v>4</v>
      </c>
      <c r="C4" s="12">
        <f>Parametros!$F$14</f>
        <v>3.2</v>
      </c>
      <c r="D4" s="24">
        <f>Parametros!$F$15</f>
        <v>1732412</v>
      </c>
      <c r="E4" s="24">
        <f>B4*C4*D4*1</f>
        <v>22174873.600000001</v>
      </c>
    </row>
    <row r="5" spans="1:6" ht="15" customHeight="1" x14ac:dyDescent="0.3">
      <c r="A5" s="3" t="s">
        <v>467</v>
      </c>
      <c r="B5" s="3">
        <v>1</v>
      </c>
      <c r="C5" s="12">
        <f>Parametros!$F$14</f>
        <v>3.2</v>
      </c>
      <c r="D5" s="24">
        <f>Parametros!$F$16</f>
        <v>2645765</v>
      </c>
      <c r="E5" s="24">
        <f>B5*C5*D5*1</f>
        <v>8466448</v>
      </c>
    </row>
    <row r="6" spans="1:6" ht="15" customHeight="1" x14ac:dyDescent="0.3">
      <c r="A6" s="3" t="s">
        <v>468</v>
      </c>
      <c r="B6" s="3">
        <v>1</v>
      </c>
      <c r="C6" s="3">
        <v>1</v>
      </c>
      <c r="D6" s="24">
        <f>Parametros!$F$17</f>
        <v>3600000</v>
      </c>
      <c r="E6" s="24">
        <f>B6*C6*D6*0.5</f>
        <v>1800000</v>
      </c>
    </row>
    <row r="7" spans="1:6" ht="15" customHeight="1" x14ac:dyDescent="0.3">
      <c r="A7" s="3" t="s">
        <v>469</v>
      </c>
      <c r="B7" s="3">
        <v>1</v>
      </c>
      <c r="C7" s="3">
        <v>1</v>
      </c>
      <c r="D7" s="24">
        <f>Parametros!$F$18</f>
        <v>2539000</v>
      </c>
      <c r="E7" s="24">
        <f>B7*C7*D7*1</f>
        <v>2539000</v>
      </c>
    </row>
    <row r="8" spans="1:6" ht="15" customHeight="1" x14ac:dyDescent="0.3">
      <c r="A8" s="3" t="s">
        <v>470</v>
      </c>
      <c r="B8" s="3"/>
      <c r="C8" s="3"/>
      <c r="D8" s="3"/>
      <c r="E8" s="24">
        <f>SUM(E4:E7)</f>
        <v>34980321.600000001</v>
      </c>
    </row>
    <row r="10" spans="1:6" ht="15" customHeight="1" x14ac:dyDescent="0.3">
      <c r="A10" t="s">
        <v>408</v>
      </c>
      <c r="B10" s="31" t="s">
        <v>471</v>
      </c>
      <c r="C10" s="32"/>
      <c r="D10" s="32"/>
      <c r="E10" s="32"/>
      <c r="F10" s="32"/>
    </row>
    <row r="11" spans="1:6" ht="15" customHeight="1" x14ac:dyDescent="0.3">
      <c r="B11" s="32"/>
      <c r="C11" s="32"/>
      <c r="D11" s="32"/>
      <c r="E11" s="32"/>
      <c r="F11" s="32"/>
    </row>
    <row r="12" spans="1:6" ht="15" customHeight="1" x14ac:dyDescent="0.3">
      <c r="B12" s="32"/>
      <c r="C12" s="32"/>
      <c r="D12" s="32"/>
      <c r="E12" s="32"/>
      <c r="F12" s="32"/>
    </row>
  </sheetData>
  <mergeCells count="1">
    <mergeCell ref="B10:F12"/>
  </mergeCells>
  <pageMargins left="0.75" right="0.75" top="1" bottom="1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"/>
  <sheetViews>
    <sheetView showGridLines="0" zoomScaleNormal="100" workbookViewId="0"/>
  </sheetViews>
  <sheetFormatPr baseColWidth="10" defaultColWidth="8.6640625" defaultRowHeight="15" customHeight="1" x14ac:dyDescent="0.3"/>
  <cols>
    <col min="1" max="1" width="40" customWidth="1"/>
    <col min="2" max="2" width="12" customWidth="1"/>
    <col min="3" max="5" width="18" customWidth="1"/>
    <col min="7" max="7" width="44" customWidth="1"/>
    <col min="8" max="8" width="22" customWidth="1"/>
  </cols>
  <sheetData>
    <row r="1" spans="1:11" ht="17.25" customHeight="1" x14ac:dyDescent="0.3">
      <c r="A1" s="1" t="s">
        <v>472</v>
      </c>
    </row>
    <row r="3" spans="1:11" ht="15" customHeight="1" x14ac:dyDescent="0.3">
      <c r="A3" s="2" t="s">
        <v>473</v>
      </c>
      <c r="B3" s="2" t="s">
        <v>462</v>
      </c>
      <c r="C3" s="2" t="s">
        <v>463</v>
      </c>
      <c r="D3" s="2" t="s">
        <v>464</v>
      </c>
      <c r="E3" s="2" t="s">
        <v>465</v>
      </c>
      <c r="G3" s="2" t="s">
        <v>474</v>
      </c>
      <c r="H3" s="2" t="s">
        <v>475</v>
      </c>
    </row>
    <row r="4" spans="1:11" ht="15" customHeight="1" x14ac:dyDescent="0.3">
      <c r="A4" s="3" t="s">
        <v>466</v>
      </c>
      <c r="B4" s="12">
        <f>Consolidado!C21</f>
        <v>4</v>
      </c>
      <c r="C4" s="12">
        <f>Parametros!$F$14</f>
        <v>3.2</v>
      </c>
      <c r="D4" s="24">
        <f>Parametros!$F$15</f>
        <v>1732412</v>
      </c>
      <c r="E4" s="24">
        <f>B4*C4*D4</f>
        <v>22174873.600000001</v>
      </c>
      <c r="G4" s="3" t="s">
        <v>476</v>
      </c>
      <c r="H4" s="24">
        <f>E8+D20</f>
        <v>43980321.600000001</v>
      </c>
    </row>
    <row r="5" spans="1:11" ht="15" customHeight="1" x14ac:dyDescent="0.3">
      <c r="A5" s="3" t="s">
        <v>467</v>
      </c>
      <c r="B5" s="3">
        <v>1</v>
      </c>
      <c r="C5" s="12">
        <f>Parametros!$F$14</f>
        <v>3.2</v>
      </c>
      <c r="D5" s="24">
        <f>Parametros!$F$16</f>
        <v>2645765</v>
      </c>
      <c r="E5" s="24">
        <f>B5*C5*D5</f>
        <v>8466448</v>
      </c>
      <c r="G5" s="3" t="s">
        <v>477</v>
      </c>
      <c r="H5" s="12">
        <f>Consolidado!C19</f>
        <v>30.115166658332331</v>
      </c>
    </row>
    <row r="6" spans="1:11" ht="15" customHeight="1" x14ac:dyDescent="0.3">
      <c r="A6" s="3" t="s">
        <v>468</v>
      </c>
      <c r="B6" s="3">
        <v>1</v>
      </c>
      <c r="C6" s="3">
        <v>1</v>
      </c>
      <c r="D6" s="24">
        <f>Parametros!$F$17</f>
        <v>3600000</v>
      </c>
      <c r="E6" s="24">
        <f>B6*C6*D6*0.5</f>
        <v>1800000</v>
      </c>
      <c r="G6" s="3" t="s">
        <v>478</v>
      </c>
      <c r="H6" s="12">
        <f>Consolidado!C20</f>
        <v>9.1175554161533796</v>
      </c>
    </row>
    <row r="7" spans="1:11" ht="15" customHeight="1" x14ac:dyDescent="0.3">
      <c r="A7" s="3" t="s">
        <v>469</v>
      </c>
      <c r="B7" s="3">
        <v>1</v>
      </c>
      <c r="C7" s="3">
        <v>1</v>
      </c>
      <c r="D7" s="24">
        <f>Parametros!$F$18</f>
        <v>2539000</v>
      </c>
      <c r="E7" s="24">
        <f>B7*C7*D7</f>
        <v>2539000</v>
      </c>
      <c r="G7" s="3" t="s">
        <v>405</v>
      </c>
      <c r="H7" s="12">
        <f>Consolidado!C21</f>
        <v>4</v>
      </c>
    </row>
    <row r="8" spans="1:11" ht="15" customHeight="1" x14ac:dyDescent="0.3">
      <c r="A8" s="3" t="s">
        <v>470</v>
      </c>
      <c r="B8" s="3"/>
      <c r="C8" s="3"/>
      <c r="D8" s="3"/>
      <c r="E8" s="24">
        <f>SUM(E4:E7)</f>
        <v>34980321.600000001</v>
      </c>
      <c r="G8" s="3" t="s">
        <v>479</v>
      </c>
      <c r="H8" s="12">
        <f>Parametros!$F$14</f>
        <v>3.2</v>
      </c>
    </row>
    <row r="9" spans="1:11" ht="15" customHeight="1" x14ac:dyDescent="0.3">
      <c r="G9" s="3" t="s">
        <v>480</v>
      </c>
      <c r="H9" s="12">
        <f>Consolidado!C23</f>
        <v>46279</v>
      </c>
    </row>
    <row r="11" spans="1:11" ht="15" customHeight="1" x14ac:dyDescent="0.3">
      <c r="A11" s="15" t="s">
        <v>481</v>
      </c>
      <c r="G11" t="s">
        <v>410</v>
      </c>
    </row>
    <row r="12" spans="1:11" ht="15" customHeight="1" x14ac:dyDescent="0.3">
      <c r="A12" s="2" t="s">
        <v>473</v>
      </c>
      <c r="B12" s="2" t="s">
        <v>462</v>
      </c>
      <c r="C12" s="2" t="s">
        <v>482</v>
      </c>
      <c r="D12" s="2" t="s">
        <v>465</v>
      </c>
      <c r="G12" s="33" t="s">
        <v>483</v>
      </c>
      <c r="H12" s="32"/>
      <c r="I12" s="32"/>
      <c r="J12" s="32"/>
      <c r="K12" s="32"/>
    </row>
    <row r="13" spans="1:11" ht="15" customHeight="1" x14ac:dyDescent="0.3">
      <c r="A13" s="3" t="s">
        <v>484</v>
      </c>
      <c r="B13" s="3">
        <v>1</v>
      </c>
      <c r="C13" s="5">
        <v>1200000</v>
      </c>
      <c r="D13" s="24">
        <f t="shared" ref="D13:D19" si="0">B13*C13</f>
        <v>1200000</v>
      </c>
      <c r="G13" s="32"/>
      <c r="H13" s="32"/>
      <c r="I13" s="32"/>
      <c r="J13" s="32"/>
      <c r="K13" s="32"/>
    </row>
    <row r="14" spans="1:11" ht="15" customHeight="1" x14ac:dyDescent="0.3">
      <c r="A14" s="3" t="s">
        <v>485</v>
      </c>
      <c r="B14" s="3">
        <v>1</v>
      </c>
      <c r="C14" s="5">
        <v>100000</v>
      </c>
      <c r="D14" s="24">
        <f t="shared" si="0"/>
        <v>100000</v>
      </c>
      <c r="G14" s="32"/>
      <c r="H14" s="32"/>
      <c r="I14" s="32"/>
      <c r="J14" s="32"/>
      <c r="K14" s="32"/>
    </row>
    <row r="15" spans="1:11" ht="15" customHeight="1" x14ac:dyDescent="0.3">
      <c r="A15" s="3" t="s">
        <v>486</v>
      </c>
      <c r="B15" s="3">
        <v>1</v>
      </c>
      <c r="C15" s="5">
        <v>500000</v>
      </c>
      <c r="D15" s="24">
        <f t="shared" si="0"/>
        <v>500000</v>
      </c>
      <c r="G15" s="32"/>
      <c r="H15" s="32"/>
      <c r="I15" s="32"/>
      <c r="J15" s="32"/>
      <c r="K15" s="32"/>
    </row>
    <row r="16" spans="1:11" ht="15" customHeight="1" x14ac:dyDescent="0.3">
      <c r="A16" s="3" t="s">
        <v>487</v>
      </c>
      <c r="B16" s="3">
        <v>4</v>
      </c>
      <c r="C16" s="5">
        <v>1000000</v>
      </c>
      <c r="D16" s="24">
        <f t="shared" si="0"/>
        <v>4000000</v>
      </c>
    </row>
    <row r="17" spans="1:4" ht="15" customHeight="1" x14ac:dyDescent="0.3">
      <c r="A17" s="3" t="s">
        <v>488</v>
      </c>
      <c r="B17" s="3">
        <v>1</v>
      </c>
      <c r="C17" s="5">
        <v>500000</v>
      </c>
      <c r="D17" s="24">
        <f t="shared" si="0"/>
        <v>500000</v>
      </c>
    </row>
    <row r="18" spans="1:4" ht="15" customHeight="1" x14ac:dyDescent="0.3">
      <c r="A18" s="3" t="s">
        <v>489</v>
      </c>
      <c r="B18" s="3">
        <v>1</v>
      </c>
      <c r="C18" s="5">
        <v>1000000</v>
      </c>
      <c r="D18" s="24">
        <f t="shared" si="0"/>
        <v>1000000</v>
      </c>
    </row>
    <row r="19" spans="1:4" ht="15" customHeight="1" x14ac:dyDescent="0.3">
      <c r="A19" s="3" t="s">
        <v>490</v>
      </c>
      <c r="B19" s="3">
        <v>1</v>
      </c>
      <c r="C19" s="5">
        <v>1700000</v>
      </c>
      <c r="D19" s="24">
        <f t="shared" si="0"/>
        <v>1700000</v>
      </c>
    </row>
    <row r="20" spans="1:4" ht="15" customHeight="1" x14ac:dyDescent="0.3">
      <c r="A20" s="3" t="s">
        <v>491</v>
      </c>
      <c r="B20" s="3"/>
      <c r="C20" s="3"/>
      <c r="D20" s="24">
        <f>SUM(D13:D19)</f>
        <v>9000000</v>
      </c>
    </row>
  </sheetData>
  <mergeCells count="1">
    <mergeCell ref="G12:K15"/>
  </mergeCells>
  <pageMargins left="0.75" right="0.75" top="1" bottom="1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zoomScaleNormal="100" workbookViewId="0"/>
  </sheetViews>
  <sheetFormatPr baseColWidth="10" defaultColWidth="8.6640625" defaultRowHeight="15" customHeight="1" x14ac:dyDescent="0.3"/>
  <cols>
    <col min="4" max="4" width="60" customWidth="1"/>
  </cols>
  <sheetData>
    <row r="1" spans="1:4" ht="15" customHeight="1" x14ac:dyDescent="0.3">
      <c r="A1" s="21" t="s">
        <v>492</v>
      </c>
      <c r="B1" s="21" t="s">
        <v>493</v>
      </c>
      <c r="C1" s="21"/>
      <c r="D1" s="21" t="s">
        <v>408</v>
      </c>
    </row>
    <row r="2" spans="1:4" ht="15" customHeight="1" x14ac:dyDescent="0.3">
      <c r="A2" s="6">
        <v>46251</v>
      </c>
      <c r="B2" t="s">
        <v>494</v>
      </c>
      <c r="D2" t="s">
        <v>495</v>
      </c>
    </row>
    <row r="3" spans="1:4" ht="15" customHeight="1" x14ac:dyDescent="0.3">
      <c r="A3" s="6">
        <v>46307</v>
      </c>
      <c r="B3" t="s">
        <v>496</v>
      </c>
    </row>
    <row r="4" spans="1:4" ht="15" customHeight="1" x14ac:dyDescent="0.3">
      <c r="A4" s="6">
        <v>46328</v>
      </c>
      <c r="B4" t="s">
        <v>497</v>
      </c>
    </row>
    <row r="5" spans="1:4" ht="15" customHeight="1" x14ac:dyDescent="0.3">
      <c r="A5" s="6">
        <v>46342</v>
      </c>
      <c r="B5" t="s">
        <v>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Avance 2.º corte</vt:lpstr>
      <vt:lpstr>Parametros</vt:lpstr>
      <vt:lpstr>Objetivos</vt:lpstr>
      <vt:lpstr>Iteracion 1</vt:lpstr>
      <vt:lpstr>Iteracion 2</vt:lpstr>
      <vt:lpstr>Iteracion 3</vt:lpstr>
      <vt:lpstr>Iteracion 4</vt:lpstr>
      <vt:lpstr>Iteracion 5</vt:lpstr>
      <vt:lpstr>Consolidado</vt:lpstr>
      <vt:lpstr>wbs-EDT</vt:lpstr>
      <vt:lpstr>costos y roles</vt:lpstr>
      <vt:lpstr>presupuesto y BAC</vt:lpstr>
      <vt:lpstr>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RODRIGUEZ VEGA</cp:lastModifiedBy>
  <cp:revision>0</cp:revision>
  <dcterms:created xsi:type="dcterms:W3CDTF">2026-09-19T19:23:31Z</dcterms:created>
  <dcterms:modified xsi:type="dcterms:W3CDTF">2026-10-19T05:20:55Z</dcterms:modified>
  <dc:language>en-US</dc:language>
</cp:coreProperties>
</file>